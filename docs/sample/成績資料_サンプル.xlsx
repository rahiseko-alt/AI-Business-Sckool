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成績表" sheetId="2" state="visible" r:id="rId2"/>
    <sheet name="検算" sheetId="3" state="visible" r:id="rId3"/>
    <sheet name="完全性" sheetId="4" state="visible" r:id="rId4"/>
    <sheet name="根拠" sheetId="5" state="visible" r:id="rId5"/>
    <sheet name="採点ルール" sheetId="6" state="visible" r:id="rId6"/>
    <sheet name="確認事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E7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3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1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6908;&#31639;!A2" TargetMode="External" Id="rId1" /><Relationship Type="http://schemas.openxmlformats.org/officeDocument/2006/relationships/hyperlink" Target="#&#26908;&#31639;!A15" TargetMode="External" Id="rId2" /><Relationship Type="http://schemas.openxmlformats.org/officeDocument/2006/relationships/hyperlink" Target="#&#26908;&#31639;!A26" TargetMode="External" Id="rId3" /><Relationship Type="http://schemas.openxmlformats.org/officeDocument/2006/relationships/hyperlink" Target="#&#26908;&#31639;!A38" TargetMode="External" Id="rId4" /><Relationship Type="http://schemas.openxmlformats.org/officeDocument/2006/relationships/hyperlink" Target="#&#26908;&#31639;!A48" TargetMode="External" Id="rId5" /><Relationship Type="http://schemas.openxmlformats.org/officeDocument/2006/relationships/hyperlink" Target="#&#26908;&#31639;!A6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成績資料の見方と検算のしかた</t>
        </is>
      </c>
    </row>
    <row r="2">
      <c r="A2" s="2" t="inlineStr">
        <is>
          <t>この成績資料は【未完成】です。下の理由が解消するまで、成績として使わないでください。</t>
        </is>
      </c>
    </row>
    <row r="3">
      <c r="A3" s="3" t="inlineStr">
        <is>
          <t>・未回答の確認事項が 1 件ある</t>
        </is>
      </c>
    </row>
    <row r="4">
      <c r="A4" s="3" t="inlineStr">
        <is>
          <t>・学生×科目に欠損・未確定が 1 件、想定外の結果が 0 件、一覧に無い履修が 0 件ある</t>
        </is>
      </c>
    </row>
    <row r="5">
      <c r="A5" s="3" t="inlineStr">
        <is>
          <t>・出力する結果が無い組み合わせが 1 件ある</t>
        </is>
      </c>
    </row>
    <row r="6">
      <c r="A6" s="4" t="inlineStr"/>
    </row>
    <row r="7">
      <c r="A7" s="5" t="inlineStr">
        <is>
          <t>■ シートの役割</t>
        </is>
      </c>
    </row>
    <row r="8">
      <c r="A8" s="4" t="inlineStr">
        <is>
          <t>成績表 … 学生×科目ごとの合計点と評価。「検算へ」を押すと、その計算の内訳に移動します。</t>
        </is>
      </c>
    </row>
    <row r="9">
      <c r="A9" s="4" t="inlineStr">
        <is>
          <t>検算 … 1人1科目ずつ、元の値・使った点数・計算式・根拠のセルを並べています。</t>
        </is>
      </c>
    </row>
    <row r="10">
      <c r="A10" s="4" t="inlineStr">
        <is>
          <t>完全性 … 学生×科目の表。OK＝確定、OK(要確認)＝確定だが確認してほしい点あり、??＝止まっている、NG＝データなし、—＝履修なし。</t>
        </is>
      </c>
    </row>
    <row r="11">
      <c r="A11" s="4" t="inlineStr">
        <is>
          <t>根拠 … すべての点数が、どの資料のどのセルから来たかの一覧。</t>
        </is>
      </c>
    </row>
    <row r="12">
      <c r="A12" s="4" t="inlineStr">
        <is>
          <t>採点ルール … 科目ごとの配点・満点・評価基準と、その根拠。</t>
        </is>
      </c>
    </row>
    <row r="13">
      <c r="A13" s="4" t="inlineStr">
        <is>
          <t>確認事項 … 人の判断が必要なこと、確認してほしいことの一覧。</t>
        </is>
      </c>
    </row>
    <row r="14">
      <c r="A14" s="4" t="inlineStr"/>
    </row>
    <row r="15">
      <c r="A15" s="5" t="inlineStr">
        <is>
          <t>■ 検算のしかた（「検算」シート）</t>
        </is>
      </c>
    </row>
    <row r="16">
      <c r="A16" s="4" t="inlineStr">
        <is>
          <t>1. 「元の値（原文）」が、右側の「資料・シート・セル」に書かれた元資料の値と同じか、目で確かめます。</t>
        </is>
      </c>
    </row>
    <row r="17">
      <c r="A17" s="4" t="inlineStr">
        <is>
          <t>2. 「扱い」を見て、未提出や欠席などがルールどおりに扱われているか確かめます。</t>
        </is>
      </c>
    </row>
    <row r="18">
      <c r="A18" s="4" t="inlineStr">
        <is>
          <t>3. 小計・合計・評価の行は、Excel 自身が計算しています（「Excelの計算」列）。</t>
        </is>
      </c>
    </row>
    <row r="19">
      <c r="A19" s="4" t="inlineStr">
        <is>
          <t xml:space="preserve">   その隣の「システムの値」と比べた結果が「判定」列です。すべて「一致」なら、計算は正しいことになります。</t>
        </is>
      </c>
    </row>
    <row r="20">
      <c r="A20" s="4" t="inlineStr">
        <is>
          <t>4. 計算式は「計算の中身」列に、ふつうの式（例: (8+9)÷(10+10)×40）でも書いてあります。電卓でも確かめられます。</t>
        </is>
      </c>
    </row>
    <row r="21">
      <c r="A21" s="4" t="inlineStr"/>
    </row>
    <row r="22">
      <c r="A22" s="5" t="inlineStr">
        <is>
          <t>■ 小数点について</t>
        </is>
      </c>
    </row>
    <row r="23">
      <c r="A23" s="4" t="inlineStr">
        <is>
          <t>システムは点数を丸めていません。割り切れない値は「正確な値」に分数（例: 200/3）で示しています。</t>
        </is>
      </c>
    </row>
    <row r="24">
      <c r="A24" s="4" t="inlineStr">
        <is>
          <t>評価は丸めない合計で決めています。端数の扱いで評価が変わり得る学生は「要確認」として確認事項に載せています。</t>
        </is>
      </c>
    </row>
    <row r="25">
      <c r="A25" s="4" t="inlineStr">
        <is>
          <t>最終的な小数点の調整は、人が行ってください。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6" customWidth="1" min="4" max="4"/>
    <col width="10" customWidth="1" min="5" max="5"/>
    <col width="26" customWidth="1" min="6" max="6"/>
    <col width="7" customWidth="1" min="7" max="7"/>
    <col width="10" customWidth="1" min="8" max="8"/>
    <col width="12" customWidth="1" min="9" max="9"/>
  </cols>
  <sheetData>
    <row r="1">
      <c r="A1" s="6" t="inlineStr">
        <is>
          <t>学籍番号</t>
        </is>
      </c>
      <c r="B1" s="6" t="inlineStr">
        <is>
          <t>氏名</t>
        </is>
      </c>
      <c r="C1" s="6" t="inlineStr">
        <is>
          <t>クラス</t>
        </is>
      </c>
      <c r="D1" s="6" t="inlineStr">
        <is>
          <t>科目</t>
        </is>
      </c>
      <c r="E1" s="6" t="inlineStr">
        <is>
          <t>合計</t>
        </is>
      </c>
      <c r="F1" s="6" t="inlineStr">
        <is>
          <t>正確な値</t>
        </is>
      </c>
      <c r="G1" s="6" t="inlineStr">
        <is>
          <t>評価</t>
        </is>
      </c>
      <c r="H1" s="6" t="inlineStr">
        <is>
          <t>状態</t>
        </is>
      </c>
      <c r="I1" s="6" t="inlineStr">
        <is>
          <t>内訳</t>
        </is>
      </c>
    </row>
    <row r="2">
      <c r="A2" t="inlineStr">
        <is>
          <t>20260031</t>
        </is>
      </c>
      <c r="B2" t="inlineStr">
        <is>
          <t>山田 花子</t>
        </is>
      </c>
      <c r="C2" t="inlineStr">
        <is>
          <t>1A</t>
        </is>
      </c>
      <c r="D2" t="inlineStr">
        <is>
          <t>AI基礎</t>
        </is>
      </c>
      <c r="E2" t="n">
        <v>89.59999999999999</v>
      </c>
      <c r="F2" t="inlineStr">
        <is>
          <t>89.6</t>
        </is>
      </c>
      <c r="G2" t="inlineStr">
        <is>
          <t>B</t>
        </is>
      </c>
      <c r="H2" s="7" t="inlineStr">
        <is>
          <t>要確認</t>
        </is>
      </c>
      <c r="I2" s="8" t="inlineStr">
        <is>
          <t>検算へ</t>
        </is>
      </c>
    </row>
    <row r="3">
      <c r="A3" t="inlineStr">
        <is>
          <t>20260031</t>
        </is>
      </c>
      <c r="B3" t="inlineStr">
        <is>
          <t>山田 花子</t>
        </is>
      </c>
      <c r="C3" t="inlineStr">
        <is>
          <t>1A</t>
        </is>
      </c>
      <c r="D3" t="inlineStr">
        <is>
          <t>マーケティング</t>
        </is>
      </c>
      <c r="E3" t="n">
        <v>81.25</v>
      </c>
      <c r="F3" t="inlineStr">
        <is>
          <t>81.25</t>
        </is>
      </c>
      <c r="G3" t="inlineStr">
        <is>
          <t>B</t>
        </is>
      </c>
      <c r="H3" s="9" t="inlineStr">
        <is>
          <t>確定</t>
        </is>
      </c>
      <c r="I3" s="8" t="inlineStr">
        <is>
          <t>検算へ</t>
        </is>
      </c>
    </row>
    <row r="4">
      <c r="A4" t="inlineStr">
        <is>
          <t>20260082</t>
        </is>
      </c>
      <c r="B4" t="inlineStr">
        <is>
          <t>山田 花子</t>
        </is>
      </c>
      <c r="C4" t="inlineStr">
        <is>
          <t>1B</t>
        </is>
      </c>
      <c r="D4" t="inlineStr">
        <is>
          <t>AI基礎</t>
        </is>
      </c>
      <c r="E4" t="n">
        <v>65.73333333333333</v>
      </c>
      <c r="F4" t="inlineStr">
        <is>
          <t>986/15（65.733333…）</t>
        </is>
      </c>
      <c r="G4" t="inlineStr">
        <is>
          <t>D</t>
        </is>
      </c>
      <c r="H4" s="7" t="inlineStr">
        <is>
          <t>要確認</t>
        </is>
      </c>
      <c r="I4" s="8" t="inlineStr">
        <is>
          <t>検算へ</t>
        </is>
      </c>
    </row>
    <row r="5">
      <c r="A5" t="inlineStr">
        <is>
          <t>20260082</t>
        </is>
      </c>
      <c r="B5" t="inlineStr">
        <is>
          <t>山田 花子</t>
        </is>
      </c>
      <c r="C5" t="inlineStr">
        <is>
          <t>1B</t>
        </is>
      </c>
      <c r="D5" t="inlineStr">
        <is>
          <t>マーケティング</t>
        </is>
      </c>
      <c r="E5" t="inlineStr"/>
      <c r="F5" t="inlineStr"/>
      <c r="G5" t="inlineStr"/>
      <c r="H5" s="10" t="inlineStr">
        <is>
          <t>停止</t>
        </is>
      </c>
      <c r="I5" s="8" t="inlineStr">
        <is>
          <t>検算へ</t>
        </is>
      </c>
    </row>
    <row r="6">
      <c r="A6" t="inlineStr">
        <is>
          <t>20260050</t>
        </is>
      </c>
      <c r="B6" t="inlineStr">
        <is>
          <t>佐藤 一郎</t>
        </is>
      </c>
      <c r="C6" t="inlineStr">
        <is>
          <t>1A</t>
        </is>
      </c>
      <c r="D6" t="inlineStr">
        <is>
          <t>AI基礎</t>
        </is>
      </c>
      <c r="E6" t="n">
        <v>71.46666666666667</v>
      </c>
      <c r="F6" t="inlineStr">
        <is>
          <t>1072/15（71.466666…）</t>
        </is>
      </c>
      <c r="G6" t="inlineStr">
        <is>
          <t>C</t>
        </is>
      </c>
      <c r="H6" s="9" t="inlineStr">
        <is>
          <t>確定</t>
        </is>
      </c>
      <c r="I6" s="8" t="inlineStr">
        <is>
          <t>検算へ</t>
        </is>
      </c>
    </row>
    <row r="7">
      <c r="A7" t="inlineStr">
        <is>
          <t>20260050</t>
        </is>
      </c>
      <c r="B7" t="inlineStr">
        <is>
          <t>佐藤 一郎</t>
        </is>
      </c>
      <c r="C7" t="inlineStr">
        <is>
          <t>1A</t>
        </is>
      </c>
      <c r="D7" t="inlineStr">
        <is>
          <t>マーケティング</t>
        </is>
      </c>
      <c r="E7" t="n">
        <v>64</v>
      </c>
      <c r="F7" t="inlineStr">
        <is>
          <t>64</t>
        </is>
      </c>
      <c r="G7" t="inlineStr">
        <is>
          <t>D</t>
        </is>
      </c>
      <c r="H7" s="9" t="inlineStr">
        <is>
          <t>確定</t>
        </is>
      </c>
      <c r="I7" s="8" t="inlineStr">
        <is>
          <t>検算へ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4" customWidth="1" min="4" max="4"/>
    <col width="9" customWidth="1" min="5" max="5"/>
    <col width="26" customWidth="1" min="6" max="6"/>
    <col width="10" customWidth="1" min="7" max="7"/>
    <col width="7" customWidth="1" min="8" max="8"/>
    <col width="22" customWidth="1" min="9" max="9"/>
    <col width="12" customWidth="1" min="10" max="10"/>
    <col width="7" customWidth="1" min="11" max="11"/>
    <col width="34" customWidth="1" min="12" max="12"/>
    <col width="11" customWidth="1" min="13" max="13"/>
    <col width="11" customWidth="1" min="14" max="14"/>
    <col width="8" customWidth="1" min="15" max="15"/>
    <col width="26" customWidth="1" min="16" max="16"/>
  </cols>
  <sheetData>
    <row r="1">
      <c r="A1" s="6" t="inlineStr">
        <is>
          <t>評価項目</t>
        </is>
      </c>
      <c r="B1" s="6" t="inlineStr">
        <is>
          <t>配点</t>
        </is>
      </c>
      <c r="C1" s="6" t="inlineStr">
        <is>
          <t>項目</t>
        </is>
      </c>
      <c r="D1" s="6" t="inlineStr">
        <is>
          <t>元の値（原文）</t>
        </is>
      </c>
      <c r="E1" s="6" t="inlineStr">
        <is>
          <t>値の種類</t>
        </is>
      </c>
      <c r="F1" s="6" t="inlineStr">
        <is>
          <t>扱い</t>
        </is>
      </c>
      <c r="G1" s="6" t="inlineStr">
        <is>
          <t>計算に使う点</t>
        </is>
      </c>
      <c r="H1" s="6" t="inlineStr">
        <is>
          <t>満点</t>
        </is>
      </c>
      <c r="I1" s="6" t="inlineStr">
        <is>
          <t>資料</t>
        </is>
      </c>
      <c r="J1" s="6" t="inlineStr">
        <is>
          <t>シート</t>
        </is>
      </c>
      <c r="K1" s="6" t="inlineStr">
        <is>
          <t>セル</t>
        </is>
      </c>
      <c r="L1" s="6" t="inlineStr">
        <is>
          <t>計算の中身</t>
        </is>
      </c>
      <c r="M1" s="6" t="inlineStr">
        <is>
          <t>Excelの計算</t>
        </is>
      </c>
      <c r="N1" s="6" t="inlineStr">
        <is>
          <t>システムの値</t>
        </is>
      </c>
      <c r="O1" s="6" t="inlineStr">
        <is>
          <t>判定</t>
        </is>
      </c>
      <c r="P1" s="6" t="inlineStr">
        <is>
          <t>正確な値</t>
        </is>
      </c>
    </row>
    <row r="2">
      <c r="A2" s="11" t="inlineStr">
        <is>
          <t>【AI基礎】 20260031 山田 花子（1A）  状態: 要確認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t="inlineStr">
        <is>
          <t>出席</t>
        </is>
      </c>
      <c r="B3" t="n">
        <v>20</v>
      </c>
      <c r="C3" t="inlineStr">
        <is>
          <t>出席回数</t>
        </is>
      </c>
      <c r="D3" t="inlineStr">
        <is>
          <t>15</t>
        </is>
      </c>
      <c r="E3" t="inlineStr">
        <is>
          <t>数値</t>
        </is>
      </c>
      <c r="F3" s="4" t="inlineStr">
        <is>
          <t>そのまま使用</t>
        </is>
      </c>
      <c r="G3" t="n">
        <v>15</v>
      </c>
      <c r="H3" t="n">
        <v>15</v>
      </c>
      <c r="I3" t="inlineStr">
        <is>
          <t>AI基礎_出席.xlsx</t>
        </is>
      </c>
      <c r="J3" t="inlineStr">
        <is>
          <t>1学期</t>
        </is>
      </c>
      <c r="K3" t="inlineStr">
        <is>
          <t>G12</t>
        </is>
      </c>
    </row>
    <row r="4">
      <c r="A4" s="12" t="inlineStr">
        <is>
          <t>出席 小計</t>
        </is>
      </c>
      <c r="B4" t="n">
        <v>20</v>
      </c>
      <c r="L4" t="inlineStr">
        <is>
          <t>(15)÷(15)×20</t>
        </is>
      </c>
      <c r="M4">
        <f>SUM(G3:G3)/SUM(H3:H3)*B4</f>
        <v/>
      </c>
      <c r="N4" t="n">
        <v>20</v>
      </c>
      <c r="O4">
        <f>IF(ABS(M4-N4)&lt;0.000000001,"一致","不一致")</f>
        <v/>
      </c>
      <c r="P4" t="inlineStr">
        <is>
          <t>20</t>
        </is>
      </c>
    </row>
    <row r="5">
      <c r="A5" t="inlineStr">
        <is>
          <t>課題</t>
        </is>
      </c>
      <c r="B5" t="n">
        <v>40</v>
      </c>
      <c r="C5" t="inlineStr">
        <is>
          <t>課題1</t>
        </is>
      </c>
      <c r="D5" t="inlineStr">
        <is>
          <t>8</t>
        </is>
      </c>
      <c r="E5" t="inlineStr">
        <is>
          <t>数値</t>
        </is>
      </c>
      <c r="F5" s="4" t="inlineStr">
        <is>
          <t>そのまま使用</t>
        </is>
      </c>
      <c r="G5" t="n">
        <v>8</v>
      </c>
      <c r="H5" t="n">
        <v>10</v>
      </c>
      <c r="I5" t="inlineStr">
        <is>
          <t>AI基礎_課題一覧.xlsx</t>
        </is>
      </c>
      <c r="J5" t="inlineStr">
        <is>
          <t>課題</t>
        </is>
      </c>
      <c r="K5" t="inlineStr">
        <is>
          <t>H31</t>
        </is>
      </c>
    </row>
    <row r="6">
      <c r="A6" t="inlineStr">
        <is>
          <t>課題</t>
        </is>
      </c>
      <c r="B6" t="n">
        <v>40</v>
      </c>
      <c r="C6" t="inlineStr">
        <is>
          <t>課題2</t>
        </is>
      </c>
      <c r="D6" t="inlineStr">
        <is>
          <t>9</t>
        </is>
      </c>
      <c r="E6" t="inlineStr">
        <is>
          <t>数値</t>
        </is>
      </c>
      <c r="F6" s="4" t="inlineStr">
        <is>
          <t>そのまま使用</t>
        </is>
      </c>
      <c r="G6" t="n">
        <v>9</v>
      </c>
      <c r="H6" t="n">
        <v>10</v>
      </c>
      <c r="I6" t="inlineStr">
        <is>
          <t>AI基礎_課題一覧.xlsx</t>
        </is>
      </c>
      <c r="J6" t="inlineStr">
        <is>
          <t>課題</t>
        </is>
      </c>
      <c r="K6" t="inlineStr">
        <is>
          <t>I31</t>
        </is>
      </c>
    </row>
    <row r="7">
      <c r="A7" t="inlineStr">
        <is>
          <t>課題</t>
        </is>
      </c>
      <c r="B7" t="n">
        <v>40</v>
      </c>
      <c r="C7" t="inlineStr">
        <is>
          <t>課題3</t>
        </is>
      </c>
      <c r="D7" t="inlineStr">
        <is>
          <t>10</t>
        </is>
      </c>
      <c r="E7" t="inlineStr">
        <is>
          <t>数値</t>
        </is>
      </c>
      <c r="F7" s="4" t="inlineStr">
        <is>
          <t>そのまま使用</t>
        </is>
      </c>
      <c r="G7" t="n">
        <v>10</v>
      </c>
      <c r="H7" t="n">
        <v>10</v>
      </c>
      <c r="I7" t="inlineStr">
        <is>
          <t>AI基礎_課題一覧.xlsx</t>
        </is>
      </c>
      <c r="J7" t="inlineStr">
        <is>
          <t>課題</t>
        </is>
      </c>
      <c r="K7" t="inlineStr">
        <is>
          <t>J31</t>
        </is>
      </c>
    </row>
    <row r="8">
      <c r="A8" s="12" t="inlineStr">
        <is>
          <t>課題 小計</t>
        </is>
      </c>
      <c r="B8" t="n">
        <v>40</v>
      </c>
      <c r="L8" t="inlineStr">
        <is>
          <t>(8+9+10)÷(10+10+10)×40</t>
        </is>
      </c>
      <c r="M8">
        <f>SUM(G5:G7)/SUM(H5:H7)*B8</f>
        <v/>
      </c>
      <c r="N8" t="n">
        <v>36</v>
      </c>
      <c r="O8">
        <f>IF(ABS(M8-N8)&lt;0.000000001,"一致","不一致")</f>
        <v/>
      </c>
      <c r="P8" t="inlineStr">
        <is>
          <t>36</t>
        </is>
      </c>
    </row>
    <row r="9">
      <c r="A9" t="inlineStr">
        <is>
          <t>試験</t>
        </is>
      </c>
      <c r="B9" t="n">
        <v>40</v>
      </c>
      <c r="C9" t="inlineStr">
        <is>
          <t>期末試験</t>
        </is>
      </c>
      <c r="D9" t="inlineStr">
        <is>
          <t>84</t>
        </is>
      </c>
      <c r="E9" t="inlineStr">
        <is>
          <t>数値</t>
        </is>
      </c>
      <c r="F9" s="4" t="inlineStr">
        <is>
          <t>そのまま使用</t>
        </is>
      </c>
      <c r="G9" t="n">
        <v>84</v>
      </c>
      <c r="H9" t="n">
        <v>100</v>
      </c>
      <c r="I9" t="inlineStr">
        <is>
          <t>AI基礎_試験.xlsx</t>
        </is>
      </c>
      <c r="J9" t="inlineStr">
        <is>
          <t>期末</t>
        </is>
      </c>
      <c r="K9" t="inlineStr">
        <is>
          <t>C14</t>
        </is>
      </c>
    </row>
    <row r="10">
      <c r="A10" s="12" t="inlineStr">
        <is>
          <t>試験 小計</t>
        </is>
      </c>
      <c r="B10" t="n">
        <v>40</v>
      </c>
      <c r="L10" t="inlineStr">
        <is>
          <t>(84)÷(100)×40</t>
        </is>
      </c>
      <c r="M10">
        <f>SUM(G9:G9)/SUM(H9:H9)*B10</f>
        <v/>
      </c>
      <c r="N10" t="n">
        <v>33.6</v>
      </c>
      <c r="O10">
        <f>IF(ABS(M10-N10)&lt;0.000000001,"一致","不一致")</f>
        <v/>
      </c>
      <c r="P10" t="inlineStr">
        <is>
          <t>33.6</t>
        </is>
      </c>
    </row>
    <row r="11">
      <c r="A11" s="12" t="inlineStr">
        <is>
          <t>合計</t>
        </is>
      </c>
      <c r="L11" t="inlineStr">
        <is>
          <t>20 + 36 + 33.6</t>
        </is>
      </c>
      <c r="M11">
        <f>M4+M8+M10</f>
        <v/>
      </c>
      <c r="N11" t="n">
        <v>89.59999999999999</v>
      </c>
      <c r="O11">
        <f>IF(ABS(M11-N11)&lt;0.000000001,"一致","不一致")</f>
        <v/>
      </c>
      <c r="P11" t="inlineStr">
        <is>
          <t>89.6</t>
        </is>
      </c>
    </row>
    <row r="12">
      <c r="A12" s="12" t="inlineStr">
        <is>
          <t>評価</t>
        </is>
      </c>
      <c r="L12" t="inlineStr">
        <is>
          <t>A: 90以上 / B: 80以上 / C: 70以上 / D: 60以上 / E: 0以上</t>
        </is>
      </c>
      <c r="M12">
        <f>IF(M11&gt;=90,"A",IF(M11&gt;=80,"B",IF(M11&gt;=70,"C",IF(M11&gt;=60,"D",IF(M11&gt;=0,"E","")))))</f>
        <v/>
      </c>
      <c r="N12" t="inlineStr">
        <is>
          <t>B</t>
        </is>
      </c>
      <c r="O12">
        <f>IF(M12=N12,"一致","不一致")</f>
        <v/>
      </c>
    </row>
    <row r="13">
      <c r="A13" s="7" t="inlineStr">
        <is>
          <t>要確認</t>
        </is>
      </c>
      <c r="C13" t="inlineStr">
        <is>
          <t>合計に端数がある（89.6）。端数の扱いで評価が B から A に変わり得る</t>
        </is>
      </c>
    </row>
    <row r="15">
      <c r="A15" s="13" t="inlineStr">
        <is>
          <t>【マーケティング】 20260031 山田 花子（1A）  状態: 確定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t="inlineStr">
        <is>
          <t>課題</t>
        </is>
      </c>
      <c r="B16" t="n">
        <v>50</v>
      </c>
      <c r="C16" t="inlineStr">
        <is>
          <t>レポート1</t>
        </is>
      </c>
      <c r="D16" t="inlineStr">
        <is>
          <t>18</t>
        </is>
      </c>
      <c r="E16" t="inlineStr">
        <is>
          <t>数値</t>
        </is>
      </c>
      <c r="F16" s="4" t="inlineStr">
        <is>
          <t>そのまま使用</t>
        </is>
      </c>
      <c r="G16" t="n">
        <v>18</v>
      </c>
      <c r="H16" t="n">
        <v>20</v>
      </c>
      <c r="I16" t="inlineStr">
        <is>
          <t>マーケ_評価表.xlsx</t>
        </is>
      </c>
      <c r="J16" t="inlineStr">
        <is>
          <t>成績</t>
        </is>
      </c>
      <c r="K16" t="inlineStr">
        <is>
          <t>D5</t>
        </is>
      </c>
    </row>
    <row r="17">
      <c r="A17" t="inlineStr">
        <is>
          <t>課題</t>
        </is>
      </c>
      <c r="B17" t="n">
        <v>50</v>
      </c>
      <c r="C17" t="inlineStr">
        <is>
          <t>レポート2</t>
        </is>
      </c>
      <c r="D17" t="inlineStr">
        <is>
          <t>15</t>
        </is>
      </c>
      <c r="E17" t="inlineStr">
        <is>
          <t>数値</t>
        </is>
      </c>
      <c r="F17" s="4" t="inlineStr">
        <is>
          <t>そのまま使用</t>
        </is>
      </c>
      <c r="G17" t="n">
        <v>15</v>
      </c>
      <c r="H17" t="n">
        <v>20</v>
      </c>
      <c r="I17" t="inlineStr">
        <is>
          <t>マーケ_評価表.xlsx</t>
        </is>
      </c>
      <c r="J17" t="inlineStr">
        <is>
          <t>成績</t>
        </is>
      </c>
      <c r="K17" t="inlineStr">
        <is>
          <t>E5</t>
        </is>
      </c>
    </row>
    <row r="18">
      <c r="A18" s="12" t="inlineStr">
        <is>
          <t>課題 小計</t>
        </is>
      </c>
      <c r="B18" t="n">
        <v>50</v>
      </c>
      <c r="L18" t="inlineStr">
        <is>
          <t>(18+15)÷(20+20)×50</t>
        </is>
      </c>
      <c r="M18">
        <f>SUM(G16:G17)/SUM(H16:H17)*B18</f>
        <v/>
      </c>
      <c r="N18" t="n">
        <v>41.25</v>
      </c>
      <c r="O18">
        <f>IF(ABS(M18-N18)&lt;0.000000001,"一致","不一致")</f>
        <v/>
      </c>
      <c r="P18" t="inlineStr">
        <is>
          <t>41.25</t>
        </is>
      </c>
    </row>
    <row r="19">
      <c r="A19" t="inlineStr">
        <is>
          <t>発表</t>
        </is>
      </c>
      <c r="B19" t="n">
        <v>30</v>
      </c>
      <c r="C19" t="inlineStr">
        <is>
          <t>発表</t>
        </is>
      </c>
      <c r="D19" t="inlineStr">
        <is>
          <t>22</t>
        </is>
      </c>
      <c r="E19" t="inlineStr">
        <is>
          <t>数値</t>
        </is>
      </c>
      <c r="F19" s="4" t="inlineStr">
        <is>
          <t>そのまま使用</t>
        </is>
      </c>
      <c r="G19" t="n">
        <v>22</v>
      </c>
      <c r="H19" t="n">
        <v>30</v>
      </c>
      <c r="I19" t="inlineStr">
        <is>
          <t>マーケ_評価表.xlsx</t>
        </is>
      </c>
      <c r="J19" t="inlineStr">
        <is>
          <t>成績</t>
        </is>
      </c>
      <c r="K19" t="inlineStr">
        <is>
          <t>F5</t>
        </is>
      </c>
    </row>
    <row r="20">
      <c r="A20" s="12" t="inlineStr">
        <is>
          <t>発表 小計</t>
        </is>
      </c>
      <c r="B20" t="n">
        <v>30</v>
      </c>
      <c r="L20" t="inlineStr">
        <is>
          <t>(22)÷(30)×30</t>
        </is>
      </c>
      <c r="M20">
        <f>SUM(G19:G19)/SUM(H19:H19)*B20</f>
        <v/>
      </c>
      <c r="N20" t="n">
        <v>22</v>
      </c>
      <c r="O20">
        <f>IF(ABS(M20-N20)&lt;0.000000001,"一致","不一致")</f>
        <v/>
      </c>
      <c r="P20" t="inlineStr">
        <is>
          <t>22</t>
        </is>
      </c>
    </row>
    <row r="21">
      <c r="A21" t="inlineStr">
        <is>
          <t>参加</t>
        </is>
      </c>
      <c r="B21" t="n">
        <v>20</v>
      </c>
      <c r="C21" t="inlineStr">
        <is>
          <t>参加</t>
        </is>
      </c>
      <c r="D21" t="inlineStr">
        <is>
          <t>9</t>
        </is>
      </c>
      <c r="E21" t="inlineStr">
        <is>
          <t>数値</t>
        </is>
      </c>
      <c r="F21" s="4" t="inlineStr">
        <is>
          <t>そのまま使用</t>
        </is>
      </c>
      <c r="G21" t="n">
        <v>9</v>
      </c>
      <c r="H21" t="n">
        <v>10</v>
      </c>
      <c r="I21" t="inlineStr">
        <is>
          <t>マーケ_評価表.xlsx</t>
        </is>
      </c>
      <c r="J21" t="inlineStr">
        <is>
          <t>成績</t>
        </is>
      </c>
      <c r="K21" t="inlineStr">
        <is>
          <t>G5</t>
        </is>
      </c>
    </row>
    <row r="22">
      <c r="A22" s="12" t="inlineStr">
        <is>
          <t>参加 小計</t>
        </is>
      </c>
      <c r="B22" t="n">
        <v>20</v>
      </c>
      <c r="L22" t="inlineStr">
        <is>
          <t>(9)÷(10)×20</t>
        </is>
      </c>
      <c r="M22">
        <f>SUM(G21:G21)/SUM(H21:H21)*B22</f>
        <v/>
      </c>
      <c r="N22" t="n">
        <v>18</v>
      </c>
      <c r="O22">
        <f>IF(ABS(M22-N22)&lt;0.000000001,"一致","不一致")</f>
        <v/>
      </c>
      <c r="P22" t="inlineStr">
        <is>
          <t>18</t>
        </is>
      </c>
    </row>
    <row r="23">
      <c r="A23" s="12" t="inlineStr">
        <is>
          <t>合計</t>
        </is>
      </c>
      <c r="L23" t="inlineStr">
        <is>
          <t>41.25 + 22 + 18</t>
        </is>
      </c>
      <c r="M23">
        <f>M18+M20+M22</f>
        <v/>
      </c>
      <c r="N23" t="n">
        <v>81.25</v>
      </c>
      <c r="O23">
        <f>IF(ABS(M23-N23)&lt;0.000000001,"一致","不一致")</f>
        <v/>
      </c>
      <c r="P23" t="inlineStr">
        <is>
          <t>81.25</t>
        </is>
      </c>
    </row>
    <row r="24">
      <c r="A24" s="12" t="inlineStr">
        <is>
          <t>評価</t>
        </is>
      </c>
      <c r="L24" t="inlineStr">
        <is>
          <t>A: 90以上 / B: 80以上 / C: 70以上 / D: 60以上 / E: 0以上</t>
        </is>
      </c>
      <c r="M24">
        <f>IF(M23&gt;=90,"A",IF(M23&gt;=80,"B",IF(M23&gt;=70,"C",IF(M23&gt;=60,"D",IF(M23&gt;=0,"E","")))))</f>
        <v/>
      </c>
      <c r="N24" t="inlineStr">
        <is>
          <t>B</t>
        </is>
      </c>
      <c r="O24">
        <f>IF(M24=N24,"一致","不一致")</f>
        <v/>
      </c>
    </row>
    <row r="26">
      <c r="A26" s="11" t="inlineStr">
        <is>
          <t>【AI基礎】 20260082 山田 花子（1B）  状態: 要確認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t="inlineStr">
        <is>
          <t>出席</t>
        </is>
      </c>
      <c r="B27" t="n">
        <v>20</v>
      </c>
      <c r="C27" t="inlineStr">
        <is>
          <t>出席回数</t>
        </is>
      </c>
      <c r="D27" t="inlineStr">
        <is>
          <t>12</t>
        </is>
      </c>
      <c r="E27" t="inlineStr">
        <is>
          <t>数値</t>
        </is>
      </c>
      <c r="F27" s="4" t="inlineStr">
        <is>
          <t>そのまま使用</t>
        </is>
      </c>
      <c r="G27" t="n">
        <v>12</v>
      </c>
      <c r="H27" t="n">
        <v>15</v>
      </c>
      <c r="I27" t="inlineStr">
        <is>
          <t>AI基礎_出席.xlsx</t>
        </is>
      </c>
      <c r="J27" t="inlineStr">
        <is>
          <t>1学期</t>
        </is>
      </c>
      <c r="K27" t="inlineStr">
        <is>
          <t>G13</t>
        </is>
      </c>
    </row>
    <row r="28">
      <c r="A28" s="12" t="inlineStr">
        <is>
          <t>出席 小計</t>
        </is>
      </c>
      <c r="B28" t="n">
        <v>20</v>
      </c>
      <c r="L28" t="inlineStr">
        <is>
          <t>(12)÷(15)×20</t>
        </is>
      </c>
      <c r="M28">
        <f>SUM(G27:G27)/SUM(H27:H27)*B28</f>
        <v/>
      </c>
      <c r="N28" t="n">
        <v>16</v>
      </c>
      <c r="O28">
        <f>IF(ABS(M28-N28)&lt;0.000000001,"一致","不一致")</f>
        <v/>
      </c>
      <c r="P28" t="inlineStr">
        <is>
          <t>16</t>
        </is>
      </c>
    </row>
    <row r="29">
      <c r="A29" t="inlineStr">
        <is>
          <t>課題</t>
        </is>
      </c>
      <c r="B29" t="n">
        <v>40</v>
      </c>
      <c r="C29" t="inlineStr">
        <is>
          <t>課題1</t>
        </is>
      </c>
      <c r="D29" t="inlineStr">
        <is>
          <t>7</t>
        </is>
      </c>
      <c r="E29" t="inlineStr">
        <is>
          <t>数値</t>
        </is>
      </c>
      <c r="F29" s="4" t="inlineStr">
        <is>
          <t>そのまま使用</t>
        </is>
      </c>
      <c r="G29" t="n">
        <v>7</v>
      </c>
      <c r="H29" t="n">
        <v>10</v>
      </c>
      <c r="I29" t="inlineStr">
        <is>
          <t>AI基礎_課題一覧.xlsx</t>
        </is>
      </c>
      <c r="J29" t="inlineStr">
        <is>
          <t>課題</t>
        </is>
      </c>
      <c r="K29" t="inlineStr">
        <is>
          <t>H32</t>
        </is>
      </c>
    </row>
    <row r="30">
      <c r="A30" t="inlineStr">
        <is>
          <t>課題</t>
        </is>
      </c>
      <c r="B30" t="n">
        <v>40</v>
      </c>
      <c r="C30" t="inlineStr">
        <is>
          <t>課題2</t>
        </is>
      </c>
      <c r="D30" t="inlineStr">
        <is>
          <t>未提出</t>
        </is>
      </c>
      <c r="E30" t="inlineStr">
        <is>
          <t>未提出</t>
        </is>
      </c>
      <c r="F30" s="4" t="inlineStr">
        <is>
          <t>未提出 → 0点（採点ルールによる）</t>
        </is>
      </c>
      <c r="G30" t="n">
        <v>0</v>
      </c>
      <c r="H30" t="n">
        <v>10</v>
      </c>
      <c r="I30" t="inlineStr">
        <is>
          <t>AI基礎_課題一覧.xlsx</t>
        </is>
      </c>
      <c r="J30" t="inlineStr">
        <is>
          <t>課題</t>
        </is>
      </c>
      <c r="K30" t="inlineStr">
        <is>
          <t>I32</t>
        </is>
      </c>
    </row>
    <row r="31">
      <c r="A31" t="inlineStr">
        <is>
          <t>課題</t>
        </is>
      </c>
      <c r="B31" t="n">
        <v>40</v>
      </c>
      <c r="C31" t="inlineStr">
        <is>
          <t>課題3</t>
        </is>
      </c>
      <c r="D31" t="inlineStr">
        <is>
          <t>9</t>
        </is>
      </c>
      <c r="E31" t="inlineStr">
        <is>
          <t>数値</t>
        </is>
      </c>
      <c r="F31" s="4" t="inlineStr">
        <is>
          <t>そのまま使用</t>
        </is>
      </c>
      <c r="G31" t="n">
        <v>9</v>
      </c>
      <c r="H31" t="n">
        <v>10</v>
      </c>
      <c r="I31" t="inlineStr">
        <is>
          <t>AI基礎_課題一覧.xlsx</t>
        </is>
      </c>
      <c r="J31" t="inlineStr">
        <is>
          <t>課題</t>
        </is>
      </c>
      <c r="K31" t="inlineStr">
        <is>
          <t>J32</t>
        </is>
      </c>
    </row>
    <row r="32">
      <c r="A32" s="12" t="inlineStr">
        <is>
          <t>課題 小計</t>
        </is>
      </c>
      <c r="B32" t="n">
        <v>40</v>
      </c>
      <c r="L32" t="inlineStr">
        <is>
          <t>(7+0+9)÷(10+10+10)×40</t>
        </is>
      </c>
      <c r="M32">
        <f>SUM(G29:G31)/SUM(H29:H31)*B32</f>
        <v/>
      </c>
      <c r="N32" t="n">
        <v>21.33333333333333</v>
      </c>
      <c r="O32">
        <f>IF(ABS(M32-N32)&lt;0.000000001,"一致","不一致")</f>
        <v/>
      </c>
      <c r="P32" t="inlineStr">
        <is>
          <t>64/3（21.333333…）</t>
        </is>
      </c>
    </row>
    <row r="33">
      <c r="A33" t="inlineStr">
        <is>
          <t>試験</t>
        </is>
      </c>
      <c r="B33" t="n">
        <v>40</v>
      </c>
      <c r="C33" t="inlineStr">
        <is>
          <t>期末試験</t>
        </is>
      </c>
      <c r="D33" t="inlineStr">
        <is>
          <t>71</t>
        </is>
      </c>
      <c r="E33" t="inlineStr">
        <is>
          <t>数値</t>
        </is>
      </c>
      <c r="F33" s="4" t="inlineStr">
        <is>
          <t>そのまま使用</t>
        </is>
      </c>
      <c r="G33" t="n">
        <v>71</v>
      </c>
      <c r="H33" t="n">
        <v>100</v>
      </c>
      <c r="I33" t="inlineStr">
        <is>
          <t>AI基礎_試験.xlsx</t>
        </is>
      </c>
      <c r="J33" t="inlineStr">
        <is>
          <t>期末</t>
        </is>
      </c>
      <c r="K33" t="inlineStr">
        <is>
          <t>C15</t>
        </is>
      </c>
    </row>
    <row r="34">
      <c r="A34" s="12" t="inlineStr">
        <is>
          <t>試験 小計</t>
        </is>
      </c>
      <c r="B34" t="n">
        <v>40</v>
      </c>
      <c r="L34" t="inlineStr">
        <is>
          <t>(71)÷(100)×40</t>
        </is>
      </c>
      <c r="M34">
        <f>SUM(G33:G33)/SUM(H33:H33)*B34</f>
        <v/>
      </c>
      <c r="N34" t="n">
        <v>28.4</v>
      </c>
      <c r="O34">
        <f>IF(ABS(M34-N34)&lt;0.000000001,"一致","不一致")</f>
        <v/>
      </c>
      <c r="P34" t="inlineStr">
        <is>
          <t>28.4</t>
        </is>
      </c>
    </row>
    <row r="35">
      <c r="A35" s="12" t="inlineStr">
        <is>
          <t>合計</t>
        </is>
      </c>
      <c r="L35" t="inlineStr">
        <is>
          <t>16 + 64/3 + 28.4</t>
        </is>
      </c>
      <c r="M35">
        <f>M28+M32+M34</f>
        <v/>
      </c>
      <c r="N35" t="n">
        <v>65.73333333333333</v>
      </c>
      <c r="O35">
        <f>IF(ABS(M35-N35)&lt;0.000000001,"一致","不一致")</f>
        <v/>
      </c>
      <c r="P35" t="inlineStr">
        <is>
          <t>986/15（65.733333…）</t>
        </is>
      </c>
    </row>
    <row r="36">
      <c r="A36" s="12" t="inlineStr">
        <is>
          <t>評価</t>
        </is>
      </c>
      <c r="L36" t="inlineStr">
        <is>
          <t>A: 90以上 / B: 80以上 / C: 70以上 / D: 60以上 / E: 0以上</t>
        </is>
      </c>
      <c r="M36">
        <f>IF(M35&gt;=90,"A",IF(M35&gt;=80,"B",IF(M35&gt;=70,"C",IF(M35&gt;=60,"D",IF(M35&gt;=0,"E","")))))</f>
        <v/>
      </c>
      <c r="N36" t="inlineStr">
        <is>
          <t>D</t>
        </is>
      </c>
      <c r="O36">
        <f>IF(M36=N36,"一致","不一致")</f>
        <v/>
      </c>
    </row>
    <row r="38">
      <c r="A38" s="15" t="inlineStr">
        <is>
          <t>【マーケティング】 20260082 山田 花子（1B）  状態: 停止（計算していません）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</row>
    <row r="39">
      <c r="A39" t="inlineStr">
        <is>
          <t>課題</t>
        </is>
      </c>
      <c r="B39" t="n">
        <v>50</v>
      </c>
      <c r="C39" t="inlineStr">
        <is>
          <t>レポート1</t>
        </is>
      </c>
      <c r="F39" s="10" t="inlineStr">
        <is>
          <t>値がありません（停止）</t>
        </is>
      </c>
    </row>
    <row r="40">
      <c r="A40" t="inlineStr">
        <is>
          <t>課題</t>
        </is>
      </c>
      <c r="B40" t="n">
        <v>50</v>
      </c>
      <c r="C40" t="inlineStr">
        <is>
          <t>レポート2</t>
        </is>
      </c>
      <c r="F40" s="10" t="inlineStr">
        <is>
          <t>値がありません（停止）</t>
        </is>
      </c>
    </row>
    <row r="41">
      <c r="A41" s="12" t="inlineStr">
        <is>
          <t>課題 小計</t>
        </is>
      </c>
      <c r="B41" t="n">
        <v>50</v>
      </c>
      <c r="L41" t="inlineStr">
        <is>
          <t>計算していません</t>
        </is>
      </c>
    </row>
    <row r="42">
      <c r="A42" t="inlineStr">
        <is>
          <t>発表</t>
        </is>
      </c>
      <c r="B42" t="n">
        <v>30</v>
      </c>
      <c r="C42" t="inlineStr">
        <is>
          <t>発表</t>
        </is>
      </c>
      <c r="F42" s="10" t="inlineStr">
        <is>
          <t>値がありません（停止）</t>
        </is>
      </c>
    </row>
    <row r="43">
      <c r="A43" s="12" t="inlineStr">
        <is>
          <t>発表 小計</t>
        </is>
      </c>
      <c r="B43" t="n">
        <v>30</v>
      </c>
      <c r="L43" t="inlineStr">
        <is>
          <t>計算していません</t>
        </is>
      </c>
    </row>
    <row r="44">
      <c r="A44" t="inlineStr">
        <is>
          <t>参加</t>
        </is>
      </c>
      <c r="B44" t="n">
        <v>20</v>
      </c>
      <c r="C44" t="inlineStr">
        <is>
          <t>参加</t>
        </is>
      </c>
      <c r="F44" s="10" t="inlineStr">
        <is>
          <t>値がありません（停止）</t>
        </is>
      </c>
    </row>
    <row r="45">
      <c r="A45" s="12" t="inlineStr">
        <is>
          <t>参加 小計</t>
        </is>
      </c>
      <c r="B45" t="n">
        <v>20</v>
      </c>
      <c r="L45" t="inlineStr">
        <is>
          <t>計算していません</t>
        </is>
      </c>
    </row>
    <row r="46">
      <c r="A46" s="10" t="inlineStr">
        <is>
          <t>停止</t>
        </is>
      </c>
      <c r="C46" t="inlineStr">
        <is>
          <t>値が無い: レポート1、レポート2、発表、参加</t>
        </is>
      </c>
    </row>
    <row r="48">
      <c r="A48" s="13" t="inlineStr">
        <is>
          <t>【AI基礎】 20260050 佐藤 一郎（1A）  状態: 確定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t="inlineStr">
        <is>
          <t>出席</t>
        </is>
      </c>
      <c r="B49" t="n">
        <v>20</v>
      </c>
      <c r="C49" t="inlineStr">
        <is>
          <t>出席回数</t>
        </is>
      </c>
      <c r="D49" t="inlineStr">
        <is>
          <t>14</t>
        </is>
      </c>
      <c r="E49" t="inlineStr">
        <is>
          <t>数値</t>
        </is>
      </c>
      <c r="F49" s="4" t="inlineStr">
        <is>
          <t>そのまま使用</t>
        </is>
      </c>
      <c r="G49" t="n">
        <v>14</v>
      </c>
      <c r="H49" t="n">
        <v>15</v>
      </c>
      <c r="I49" t="inlineStr">
        <is>
          <t>AI基礎_出席.xlsx</t>
        </is>
      </c>
      <c r="J49" t="inlineStr">
        <is>
          <t>1学期</t>
        </is>
      </c>
      <c r="K49" t="inlineStr">
        <is>
          <t>G14</t>
        </is>
      </c>
    </row>
    <row r="50">
      <c r="A50" s="12" t="inlineStr">
        <is>
          <t>出席 小計</t>
        </is>
      </c>
      <c r="B50" t="n">
        <v>20</v>
      </c>
      <c r="L50" t="inlineStr">
        <is>
          <t>(14)÷(15)×20</t>
        </is>
      </c>
      <c r="M50">
        <f>SUM(G49:G49)/SUM(H49:H49)*B50</f>
        <v/>
      </c>
      <c r="N50" t="n">
        <v>18.66666666666667</v>
      </c>
      <c r="O50">
        <f>IF(ABS(M50-N50)&lt;0.000000001,"一致","不一致")</f>
        <v/>
      </c>
      <c r="P50" t="inlineStr">
        <is>
          <t>56/3（18.666666…）</t>
        </is>
      </c>
    </row>
    <row r="51">
      <c r="A51" t="inlineStr">
        <is>
          <t>課題</t>
        </is>
      </c>
      <c r="B51" t="n">
        <v>40</v>
      </c>
      <c r="C51" t="inlineStr">
        <is>
          <t>課題1</t>
        </is>
      </c>
      <c r="D51" t="inlineStr">
        <is>
          <t>6</t>
        </is>
      </c>
      <c r="E51" t="inlineStr">
        <is>
          <t>数値</t>
        </is>
      </c>
      <c r="F51" s="4" t="inlineStr">
        <is>
          <t>そのまま使用</t>
        </is>
      </c>
      <c r="G51" t="n">
        <v>6</v>
      </c>
      <c r="H51" t="n">
        <v>10</v>
      </c>
      <c r="I51" t="inlineStr">
        <is>
          <t>AI基礎_課題一覧.xlsx</t>
        </is>
      </c>
      <c r="J51" t="inlineStr">
        <is>
          <t>課題</t>
        </is>
      </c>
      <c r="K51" t="inlineStr">
        <is>
          <t>H33</t>
        </is>
      </c>
    </row>
    <row r="52">
      <c r="A52" t="inlineStr">
        <is>
          <t>課題</t>
        </is>
      </c>
      <c r="B52" t="n">
        <v>40</v>
      </c>
      <c r="C52" t="inlineStr">
        <is>
          <t>課題2</t>
        </is>
      </c>
      <c r="D52" t="inlineStr">
        <is>
          <t>7</t>
        </is>
      </c>
      <c r="E52" t="inlineStr">
        <is>
          <t>数値</t>
        </is>
      </c>
      <c r="F52" s="4" t="inlineStr">
        <is>
          <t>そのまま使用</t>
        </is>
      </c>
      <c r="G52" t="n">
        <v>7</v>
      </c>
      <c r="H52" t="n">
        <v>10</v>
      </c>
      <c r="I52" t="inlineStr">
        <is>
          <t>AI基礎_課題一覧.xlsx</t>
        </is>
      </c>
      <c r="J52" t="inlineStr">
        <is>
          <t>課題</t>
        </is>
      </c>
      <c r="K52" t="inlineStr">
        <is>
          <t>I33</t>
        </is>
      </c>
    </row>
    <row r="53">
      <c r="A53" t="inlineStr">
        <is>
          <t>課題</t>
        </is>
      </c>
      <c r="B53" t="n">
        <v>40</v>
      </c>
      <c r="C53" t="inlineStr">
        <is>
          <t>課題3</t>
        </is>
      </c>
      <c r="D53" t="inlineStr">
        <is>
          <t>8</t>
        </is>
      </c>
      <c r="E53" t="inlineStr">
        <is>
          <t>数値</t>
        </is>
      </c>
      <c r="F53" s="4" t="inlineStr">
        <is>
          <t>そのまま使用</t>
        </is>
      </c>
      <c r="G53" t="n">
        <v>8</v>
      </c>
      <c r="H53" t="n">
        <v>10</v>
      </c>
      <c r="I53" t="inlineStr">
        <is>
          <t>AI基礎_課題一覧.xlsx</t>
        </is>
      </c>
      <c r="J53" t="inlineStr">
        <is>
          <t>課題</t>
        </is>
      </c>
      <c r="K53" t="inlineStr">
        <is>
          <t>J33</t>
        </is>
      </c>
    </row>
    <row r="54">
      <c r="A54" s="12" t="inlineStr">
        <is>
          <t>課題 小計</t>
        </is>
      </c>
      <c r="B54" t="n">
        <v>40</v>
      </c>
      <c r="L54" t="inlineStr">
        <is>
          <t>(6+7+8)÷(10+10+10)×40</t>
        </is>
      </c>
      <c r="M54">
        <f>SUM(G51:G53)/SUM(H51:H53)*B54</f>
        <v/>
      </c>
      <c r="N54" t="n">
        <v>28</v>
      </c>
      <c r="O54">
        <f>IF(ABS(M54-N54)&lt;0.000000001,"一致","不一致")</f>
        <v/>
      </c>
      <c r="P54" t="inlineStr">
        <is>
          <t>28</t>
        </is>
      </c>
    </row>
    <row r="55">
      <c r="A55" t="inlineStr">
        <is>
          <t>試験</t>
        </is>
      </c>
      <c r="B55" t="n">
        <v>40</v>
      </c>
      <c r="C55" t="inlineStr">
        <is>
          <t>期末試験</t>
        </is>
      </c>
      <c r="D55" t="inlineStr">
        <is>
          <t>62</t>
        </is>
      </c>
      <c r="E55" t="inlineStr">
        <is>
          <t>数値</t>
        </is>
      </c>
      <c r="F55" s="4" t="inlineStr">
        <is>
          <t>そのまま使用</t>
        </is>
      </c>
      <c r="G55" t="n">
        <v>62</v>
      </c>
      <c r="H55" t="n">
        <v>100</v>
      </c>
      <c r="I55" t="inlineStr">
        <is>
          <t>AI基礎_試験.xlsx</t>
        </is>
      </c>
      <c r="J55" t="inlineStr">
        <is>
          <t>期末</t>
        </is>
      </c>
      <c r="K55" t="inlineStr">
        <is>
          <t>C16</t>
        </is>
      </c>
    </row>
    <row r="56">
      <c r="A56" s="12" t="inlineStr">
        <is>
          <t>試験 小計</t>
        </is>
      </c>
      <c r="B56" t="n">
        <v>40</v>
      </c>
      <c r="L56" t="inlineStr">
        <is>
          <t>(62)÷(100)×40</t>
        </is>
      </c>
      <c r="M56">
        <f>SUM(G55:G55)/SUM(H55:H55)*B56</f>
        <v/>
      </c>
      <c r="N56" t="n">
        <v>24.8</v>
      </c>
      <c r="O56">
        <f>IF(ABS(M56-N56)&lt;0.000000001,"一致","不一致")</f>
        <v/>
      </c>
      <c r="P56" t="inlineStr">
        <is>
          <t>24.8</t>
        </is>
      </c>
    </row>
    <row r="57">
      <c r="A57" s="12" t="inlineStr">
        <is>
          <t>合計</t>
        </is>
      </c>
      <c r="L57" t="inlineStr">
        <is>
          <t>56/3 + 28 + 24.8</t>
        </is>
      </c>
      <c r="M57">
        <f>M50+M54+M56</f>
        <v/>
      </c>
      <c r="N57" t="n">
        <v>71.46666666666667</v>
      </c>
      <c r="O57">
        <f>IF(ABS(M57-N57)&lt;0.000000001,"一致","不一致")</f>
        <v/>
      </c>
      <c r="P57" t="inlineStr">
        <is>
          <t>1072/15（71.466666…）</t>
        </is>
      </c>
    </row>
    <row r="58">
      <c r="A58" s="12" t="inlineStr">
        <is>
          <t>評価</t>
        </is>
      </c>
      <c r="L58" t="inlineStr">
        <is>
          <t>A: 90以上 / B: 80以上 / C: 70以上 / D: 60以上 / E: 0以上</t>
        </is>
      </c>
      <c r="M58">
        <f>IF(M57&gt;=90,"A",IF(M57&gt;=80,"B",IF(M57&gt;=70,"C",IF(M57&gt;=60,"D",IF(M57&gt;=0,"E","")))))</f>
        <v/>
      </c>
      <c r="N58" t="inlineStr">
        <is>
          <t>C</t>
        </is>
      </c>
      <c r="O58">
        <f>IF(M58=N58,"一致","不一致")</f>
        <v/>
      </c>
    </row>
    <row r="60">
      <c r="A60" s="13" t="inlineStr">
        <is>
          <t>【マーケティング】 20260050 佐藤 一郎（1A）  状態: 確定</t>
        </is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</row>
    <row r="61">
      <c r="A61" t="inlineStr">
        <is>
          <t>課題</t>
        </is>
      </c>
      <c r="B61" t="n">
        <v>50</v>
      </c>
      <c r="C61" t="inlineStr">
        <is>
          <t>レポート1</t>
        </is>
      </c>
      <c r="D61" t="inlineStr">
        <is>
          <t>12</t>
        </is>
      </c>
      <c r="E61" t="inlineStr">
        <is>
          <t>数値</t>
        </is>
      </c>
      <c r="F61" s="4" t="inlineStr">
        <is>
          <t>そのまま使用</t>
        </is>
      </c>
      <c r="G61" t="n">
        <v>12</v>
      </c>
      <c r="H61" t="n">
        <v>20</v>
      </c>
      <c r="I61" t="inlineStr">
        <is>
          <t>マーケ_評価表.xlsx</t>
        </is>
      </c>
      <c r="J61" t="inlineStr">
        <is>
          <t>成績</t>
        </is>
      </c>
      <c r="K61" t="inlineStr">
        <is>
          <t>D7</t>
        </is>
      </c>
    </row>
    <row r="62">
      <c r="A62" t="inlineStr">
        <is>
          <t>課題</t>
        </is>
      </c>
      <c r="B62" t="n">
        <v>50</v>
      </c>
      <c r="C62" t="inlineStr">
        <is>
          <t>レポート2</t>
        </is>
      </c>
      <c r="D62" t="inlineStr">
        <is>
          <t>対象外</t>
        </is>
      </c>
      <c r="E62" t="inlineStr">
        <is>
          <t>対象外</t>
        </is>
      </c>
      <c r="F62" s="4" t="inlineStr">
        <is>
          <t>対象外 → 計算から除外（採点ルールによる）</t>
        </is>
      </c>
      <c r="I62" t="inlineStr">
        <is>
          <t>マーケ_評価表.xlsx</t>
        </is>
      </c>
      <c r="J62" t="inlineStr">
        <is>
          <t>成績</t>
        </is>
      </c>
      <c r="K62" t="inlineStr">
        <is>
          <t>E7</t>
        </is>
      </c>
    </row>
    <row r="63">
      <c r="A63" s="12" t="inlineStr">
        <is>
          <t>課題 小計</t>
        </is>
      </c>
      <c r="B63" t="n">
        <v>50</v>
      </c>
      <c r="L63" t="inlineStr">
        <is>
          <t>(12)÷(20)×50</t>
        </is>
      </c>
      <c r="M63">
        <f>SUM(G61:G62)/SUM(H61:H62)*B63</f>
        <v/>
      </c>
      <c r="N63" t="n">
        <v>30</v>
      </c>
      <c r="O63">
        <f>IF(ABS(M63-N63)&lt;0.000000001,"一致","不一致")</f>
        <v/>
      </c>
      <c r="P63" t="inlineStr">
        <is>
          <t>30</t>
        </is>
      </c>
    </row>
    <row r="64">
      <c r="A64" t="inlineStr">
        <is>
          <t>発表</t>
        </is>
      </c>
      <c r="B64" t="n">
        <v>30</v>
      </c>
      <c r="C64" t="inlineStr">
        <is>
          <t>発表</t>
        </is>
      </c>
      <c r="D64" t="inlineStr">
        <is>
          <t>20</t>
        </is>
      </c>
      <c r="E64" t="inlineStr">
        <is>
          <t>数値</t>
        </is>
      </c>
      <c r="F64" s="4" t="inlineStr">
        <is>
          <t>そのまま使用</t>
        </is>
      </c>
      <c r="G64" t="n">
        <v>20</v>
      </c>
      <c r="H64" t="n">
        <v>30</v>
      </c>
      <c r="I64" t="inlineStr">
        <is>
          <t>マーケ_評価表.xlsx</t>
        </is>
      </c>
      <c r="J64" t="inlineStr">
        <is>
          <t>成績</t>
        </is>
      </c>
      <c r="K64" t="inlineStr">
        <is>
          <t>F7</t>
        </is>
      </c>
    </row>
    <row r="65">
      <c r="A65" s="12" t="inlineStr">
        <is>
          <t>発表 小計</t>
        </is>
      </c>
      <c r="B65" t="n">
        <v>30</v>
      </c>
      <c r="L65" t="inlineStr">
        <is>
          <t>(20)÷(30)×30</t>
        </is>
      </c>
      <c r="M65">
        <f>SUM(G64:G64)/SUM(H64:H64)*B65</f>
        <v/>
      </c>
      <c r="N65" t="n">
        <v>20</v>
      </c>
      <c r="O65">
        <f>IF(ABS(M65-N65)&lt;0.000000001,"一致","不一致")</f>
        <v/>
      </c>
      <c r="P65" t="inlineStr">
        <is>
          <t>20</t>
        </is>
      </c>
    </row>
    <row r="66">
      <c r="A66" t="inlineStr">
        <is>
          <t>参加</t>
        </is>
      </c>
      <c r="B66" t="n">
        <v>20</v>
      </c>
      <c r="C66" t="inlineStr">
        <is>
          <t>参加</t>
        </is>
      </c>
      <c r="D66" t="inlineStr">
        <is>
          <t>7</t>
        </is>
      </c>
      <c r="E66" t="inlineStr">
        <is>
          <t>数値</t>
        </is>
      </c>
      <c r="F66" s="4" t="inlineStr">
        <is>
          <t>そのまま使用</t>
        </is>
      </c>
      <c r="G66" t="n">
        <v>7</v>
      </c>
      <c r="H66" t="n">
        <v>10</v>
      </c>
      <c r="I66" t="inlineStr">
        <is>
          <t>マーケ_評価表.xlsx</t>
        </is>
      </c>
      <c r="J66" t="inlineStr">
        <is>
          <t>成績</t>
        </is>
      </c>
      <c r="K66" t="inlineStr">
        <is>
          <t>G7</t>
        </is>
      </c>
    </row>
    <row r="67">
      <c r="A67" s="12" t="inlineStr">
        <is>
          <t>参加 小計</t>
        </is>
      </c>
      <c r="B67" t="n">
        <v>20</v>
      </c>
      <c r="L67" t="inlineStr">
        <is>
          <t>(7)÷(10)×20</t>
        </is>
      </c>
      <c r="M67">
        <f>SUM(G66:G66)/SUM(H66:H66)*B67</f>
        <v/>
      </c>
      <c r="N67" t="n">
        <v>14</v>
      </c>
      <c r="O67">
        <f>IF(ABS(M67-N67)&lt;0.000000001,"一致","不一致")</f>
        <v/>
      </c>
      <c r="P67" t="inlineStr">
        <is>
          <t>14</t>
        </is>
      </c>
    </row>
    <row r="68">
      <c r="A68" s="12" t="inlineStr">
        <is>
          <t>合計</t>
        </is>
      </c>
      <c r="L68" t="inlineStr">
        <is>
          <t>30 + 20 + 14</t>
        </is>
      </c>
      <c r="M68">
        <f>M63+M65+M67</f>
        <v/>
      </c>
      <c r="N68" t="n">
        <v>64</v>
      </c>
      <c r="O68">
        <f>IF(ABS(M68-N68)&lt;0.000000001,"一致","不一致")</f>
        <v/>
      </c>
      <c r="P68" t="inlineStr">
        <is>
          <t>64</t>
        </is>
      </c>
    </row>
    <row r="69">
      <c r="A69" s="12" t="inlineStr">
        <is>
          <t>評価</t>
        </is>
      </c>
      <c r="L69" t="inlineStr">
        <is>
          <t>A: 90以上 / B: 80以上 / C: 70以上 / D: 60以上 / E: 0以上</t>
        </is>
      </c>
      <c r="M69">
        <f>IF(M68&gt;=90,"A",IF(M68&gt;=80,"B",IF(M68&gt;=70,"C",IF(M68&gt;=60,"D",IF(M68&gt;=0,"E","")))))</f>
        <v/>
      </c>
      <c r="N69" t="inlineStr">
        <is>
          <t>D</t>
        </is>
      </c>
      <c r="O69">
        <f>IF(M69=N69,"一致","不一致")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2" t="inlineStr">
        <is>
          <t>学生×科目（OK＝確定 / OK(要確認) / ??＝止まっている / NG＝データなし / —＝履修なし）</t>
        </is>
      </c>
    </row>
    <row r="2">
      <c r="A2" s="6" t="inlineStr">
        <is>
          <t>学籍番号</t>
        </is>
      </c>
      <c r="B2" s="6" t="inlineStr">
        <is>
          <t>氏名</t>
        </is>
      </c>
      <c r="C2" s="6" t="inlineStr">
        <is>
          <t>AI基礎</t>
        </is>
      </c>
      <c r="D2" s="6" t="inlineStr">
        <is>
          <t>マーケティング</t>
        </is>
      </c>
    </row>
    <row r="3">
      <c r="A3" t="inlineStr">
        <is>
          <t>20260031</t>
        </is>
      </c>
      <c r="B3" t="inlineStr">
        <is>
          <t>山田 花子</t>
        </is>
      </c>
      <c r="C3" s="16" t="inlineStr">
        <is>
          <t>OK(要確認)</t>
        </is>
      </c>
      <c r="D3" s="17" t="inlineStr">
        <is>
          <t>OK</t>
        </is>
      </c>
    </row>
    <row r="4">
      <c r="A4" t="inlineStr">
        <is>
          <t>20260082</t>
        </is>
      </c>
      <c r="B4" t="inlineStr">
        <is>
          <t>山田 花子</t>
        </is>
      </c>
      <c r="C4" s="16" t="inlineStr">
        <is>
          <t>OK(要確認)</t>
        </is>
      </c>
      <c r="D4" s="18" t="inlineStr">
        <is>
          <t>NG</t>
        </is>
      </c>
    </row>
    <row r="5">
      <c r="A5" t="inlineStr">
        <is>
          <t>20260050</t>
        </is>
      </c>
      <c r="B5" t="inlineStr">
        <is>
          <t>佐藤 一郎</t>
        </is>
      </c>
      <c r="C5" s="17" t="inlineStr">
        <is>
          <t>OK</t>
        </is>
      </c>
      <c r="D5" s="17" t="inlineStr">
        <is>
          <t>OK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4" customWidth="1" min="5" max="5"/>
    <col width="10" customWidth="1" min="6" max="6"/>
    <col width="24" customWidth="1" min="7" max="7"/>
    <col width="12" customWidth="1" min="8" max="8"/>
    <col width="8" customWidth="1" min="9" max="9"/>
  </cols>
  <sheetData>
    <row r="1">
      <c r="A1" s="6" t="inlineStr">
        <is>
          <t>学籍番号</t>
        </is>
      </c>
      <c r="B1" s="6" t="inlineStr">
        <is>
          <t>氏名</t>
        </is>
      </c>
      <c r="C1" s="6" t="inlineStr">
        <is>
          <t>科目</t>
        </is>
      </c>
      <c r="D1" s="6" t="inlineStr">
        <is>
          <t>項目</t>
        </is>
      </c>
      <c r="E1" s="6" t="inlineStr">
        <is>
          <t>元の値（原文）</t>
        </is>
      </c>
      <c r="F1" s="6" t="inlineStr">
        <is>
          <t>値の種類</t>
        </is>
      </c>
      <c r="G1" s="6" t="inlineStr">
        <is>
          <t>資料</t>
        </is>
      </c>
      <c r="H1" s="6" t="inlineStr">
        <is>
          <t>シート</t>
        </is>
      </c>
      <c r="I1" s="6" t="inlineStr">
        <is>
          <t>セル</t>
        </is>
      </c>
    </row>
    <row r="2">
      <c r="A2" s="19" t="inlineStr">
        <is>
          <t>20260031</t>
        </is>
      </c>
      <c r="B2" s="19" t="inlineStr">
        <is>
          <t>山田 花子</t>
        </is>
      </c>
      <c r="C2" s="19" t="inlineStr">
        <is>
          <t>AI基礎</t>
        </is>
      </c>
      <c r="D2" s="19" t="inlineStr">
        <is>
          <t>出席回数</t>
        </is>
      </c>
      <c r="E2" s="19" t="inlineStr">
        <is>
          <t>15</t>
        </is>
      </c>
      <c r="F2" s="19" t="inlineStr">
        <is>
          <t>数値</t>
        </is>
      </c>
      <c r="G2" s="19" t="inlineStr">
        <is>
          <t>AI基礎_出席.xlsx</t>
        </is>
      </c>
      <c r="H2" s="19" t="inlineStr">
        <is>
          <t>1学期</t>
        </is>
      </c>
      <c r="I2" s="19" t="inlineStr">
        <is>
          <t>G12</t>
        </is>
      </c>
    </row>
    <row r="3">
      <c r="A3" s="19" t="inlineStr">
        <is>
          <t>20260031</t>
        </is>
      </c>
      <c r="B3" s="19" t="inlineStr">
        <is>
          <t>山田 花子</t>
        </is>
      </c>
      <c r="C3" s="19" t="inlineStr">
        <is>
          <t>AI基礎</t>
        </is>
      </c>
      <c r="D3" s="19" t="inlineStr">
        <is>
          <t>課題1</t>
        </is>
      </c>
      <c r="E3" s="19" t="inlineStr">
        <is>
          <t>8</t>
        </is>
      </c>
      <c r="F3" s="19" t="inlineStr">
        <is>
          <t>数値</t>
        </is>
      </c>
      <c r="G3" s="19" t="inlineStr">
        <is>
          <t>AI基礎_課題一覧.xlsx</t>
        </is>
      </c>
      <c r="H3" s="19" t="inlineStr">
        <is>
          <t>課題</t>
        </is>
      </c>
      <c r="I3" s="19" t="inlineStr">
        <is>
          <t>H31</t>
        </is>
      </c>
    </row>
    <row r="4">
      <c r="A4" s="19" t="inlineStr">
        <is>
          <t>20260031</t>
        </is>
      </c>
      <c r="B4" s="19" t="inlineStr">
        <is>
          <t>山田 花子</t>
        </is>
      </c>
      <c r="C4" s="19" t="inlineStr">
        <is>
          <t>AI基礎</t>
        </is>
      </c>
      <c r="D4" s="19" t="inlineStr">
        <is>
          <t>課題2</t>
        </is>
      </c>
      <c r="E4" s="19" t="inlineStr">
        <is>
          <t>9</t>
        </is>
      </c>
      <c r="F4" s="19" t="inlineStr">
        <is>
          <t>数値</t>
        </is>
      </c>
      <c r="G4" s="19" t="inlineStr">
        <is>
          <t>AI基礎_課題一覧.xlsx</t>
        </is>
      </c>
      <c r="H4" s="19" t="inlineStr">
        <is>
          <t>課題</t>
        </is>
      </c>
      <c r="I4" s="19" t="inlineStr">
        <is>
          <t>I31</t>
        </is>
      </c>
    </row>
    <row r="5">
      <c r="A5" s="19" t="inlineStr">
        <is>
          <t>20260031</t>
        </is>
      </c>
      <c r="B5" s="19" t="inlineStr">
        <is>
          <t>山田 花子</t>
        </is>
      </c>
      <c r="C5" s="19" t="inlineStr">
        <is>
          <t>AI基礎</t>
        </is>
      </c>
      <c r="D5" s="19" t="inlineStr">
        <is>
          <t>課題3</t>
        </is>
      </c>
      <c r="E5" s="19" t="inlineStr">
        <is>
          <t>10</t>
        </is>
      </c>
      <c r="F5" s="19" t="inlineStr">
        <is>
          <t>数値</t>
        </is>
      </c>
      <c r="G5" s="19" t="inlineStr">
        <is>
          <t>AI基礎_課題一覧.xlsx</t>
        </is>
      </c>
      <c r="H5" s="19" t="inlineStr">
        <is>
          <t>課題</t>
        </is>
      </c>
      <c r="I5" s="19" t="inlineStr">
        <is>
          <t>J31</t>
        </is>
      </c>
    </row>
    <row r="6">
      <c r="A6" s="19" t="inlineStr">
        <is>
          <t>20260031</t>
        </is>
      </c>
      <c r="B6" s="19" t="inlineStr">
        <is>
          <t>山田 花子</t>
        </is>
      </c>
      <c r="C6" s="19" t="inlineStr">
        <is>
          <t>AI基礎</t>
        </is>
      </c>
      <c r="D6" s="19" t="inlineStr">
        <is>
          <t>期末試験</t>
        </is>
      </c>
      <c r="E6" s="19" t="inlineStr">
        <is>
          <t>84</t>
        </is>
      </c>
      <c r="F6" s="19" t="inlineStr">
        <is>
          <t>数値</t>
        </is>
      </c>
      <c r="G6" s="19" t="inlineStr">
        <is>
          <t>AI基礎_試験.xlsx</t>
        </is>
      </c>
      <c r="H6" s="19" t="inlineStr">
        <is>
          <t>期末</t>
        </is>
      </c>
      <c r="I6" s="19" t="inlineStr">
        <is>
          <t>C14</t>
        </is>
      </c>
    </row>
    <row r="7">
      <c r="A7" s="19" t="inlineStr">
        <is>
          <t>20260031</t>
        </is>
      </c>
      <c r="B7" s="19" t="inlineStr">
        <is>
          <t>山田 花子</t>
        </is>
      </c>
      <c r="C7" s="19" t="inlineStr">
        <is>
          <t>マーケティング</t>
        </is>
      </c>
      <c r="D7" s="19" t="inlineStr">
        <is>
          <t>レポート1</t>
        </is>
      </c>
      <c r="E7" s="19" t="inlineStr">
        <is>
          <t>18</t>
        </is>
      </c>
      <c r="F7" s="19" t="inlineStr">
        <is>
          <t>数値</t>
        </is>
      </c>
      <c r="G7" s="19" t="inlineStr">
        <is>
          <t>マーケ_評価表.xlsx</t>
        </is>
      </c>
      <c r="H7" s="19" t="inlineStr">
        <is>
          <t>成績</t>
        </is>
      </c>
      <c r="I7" s="19" t="inlineStr">
        <is>
          <t>D5</t>
        </is>
      </c>
    </row>
    <row r="8">
      <c r="A8" s="19" t="inlineStr">
        <is>
          <t>20260031</t>
        </is>
      </c>
      <c r="B8" s="19" t="inlineStr">
        <is>
          <t>山田 花子</t>
        </is>
      </c>
      <c r="C8" s="19" t="inlineStr">
        <is>
          <t>マーケティング</t>
        </is>
      </c>
      <c r="D8" s="19" t="inlineStr">
        <is>
          <t>レポート2</t>
        </is>
      </c>
      <c r="E8" s="19" t="inlineStr">
        <is>
          <t>15</t>
        </is>
      </c>
      <c r="F8" s="19" t="inlineStr">
        <is>
          <t>数値</t>
        </is>
      </c>
      <c r="G8" s="19" t="inlineStr">
        <is>
          <t>マーケ_評価表.xlsx</t>
        </is>
      </c>
      <c r="H8" s="19" t="inlineStr">
        <is>
          <t>成績</t>
        </is>
      </c>
      <c r="I8" s="19" t="inlineStr">
        <is>
          <t>E5</t>
        </is>
      </c>
    </row>
    <row r="9">
      <c r="A9" s="19" t="inlineStr">
        <is>
          <t>20260031</t>
        </is>
      </c>
      <c r="B9" s="19" t="inlineStr">
        <is>
          <t>山田 花子</t>
        </is>
      </c>
      <c r="C9" s="19" t="inlineStr">
        <is>
          <t>マーケティング</t>
        </is>
      </c>
      <c r="D9" s="19" t="inlineStr">
        <is>
          <t>発表</t>
        </is>
      </c>
      <c r="E9" s="19" t="inlineStr">
        <is>
          <t>22</t>
        </is>
      </c>
      <c r="F9" s="19" t="inlineStr">
        <is>
          <t>数値</t>
        </is>
      </c>
      <c r="G9" s="19" t="inlineStr">
        <is>
          <t>マーケ_評価表.xlsx</t>
        </is>
      </c>
      <c r="H9" s="19" t="inlineStr">
        <is>
          <t>成績</t>
        </is>
      </c>
      <c r="I9" s="19" t="inlineStr">
        <is>
          <t>F5</t>
        </is>
      </c>
    </row>
    <row r="10">
      <c r="A10" s="19" t="inlineStr">
        <is>
          <t>20260031</t>
        </is>
      </c>
      <c r="B10" s="19" t="inlineStr">
        <is>
          <t>山田 花子</t>
        </is>
      </c>
      <c r="C10" s="19" t="inlineStr">
        <is>
          <t>マーケティング</t>
        </is>
      </c>
      <c r="D10" s="19" t="inlineStr">
        <is>
          <t>参加</t>
        </is>
      </c>
      <c r="E10" s="19" t="inlineStr">
        <is>
          <t>9</t>
        </is>
      </c>
      <c r="F10" s="19" t="inlineStr">
        <is>
          <t>数値</t>
        </is>
      </c>
      <c r="G10" s="19" t="inlineStr">
        <is>
          <t>マーケ_評価表.xlsx</t>
        </is>
      </c>
      <c r="H10" s="19" t="inlineStr">
        <is>
          <t>成績</t>
        </is>
      </c>
      <c r="I10" s="19" t="inlineStr">
        <is>
          <t>G5</t>
        </is>
      </c>
    </row>
    <row r="11">
      <c r="A11" s="19" t="inlineStr">
        <is>
          <t>20260082</t>
        </is>
      </c>
      <c r="B11" s="19" t="inlineStr">
        <is>
          <t>山田 花子</t>
        </is>
      </c>
      <c r="C11" s="19" t="inlineStr">
        <is>
          <t>AI基礎</t>
        </is>
      </c>
      <c r="D11" s="19" t="inlineStr">
        <is>
          <t>出席回数</t>
        </is>
      </c>
      <c r="E11" s="19" t="inlineStr">
        <is>
          <t>12</t>
        </is>
      </c>
      <c r="F11" s="19" t="inlineStr">
        <is>
          <t>数値</t>
        </is>
      </c>
      <c r="G11" s="19" t="inlineStr">
        <is>
          <t>AI基礎_出席.xlsx</t>
        </is>
      </c>
      <c r="H11" s="19" t="inlineStr">
        <is>
          <t>1学期</t>
        </is>
      </c>
      <c r="I11" s="19" t="inlineStr">
        <is>
          <t>G13</t>
        </is>
      </c>
    </row>
    <row r="12">
      <c r="A12" s="19" t="inlineStr">
        <is>
          <t>20260082</t>
        </is>
      </c>
      <c r="B12" s="19" t="inlineStr">
        <is>
          <t>山田 花子</t>
        </is>
      </c>
      <c r="C12" s="19" t="inlineStr">
        <is>
          <t>AI基礎</t>
        </is>
      </c>
      <c r="D12" s="19" t="inlineStr">
        <is>
          <t>課題1</t>
        </is>
      </c>
      <c r="E12" s="19" t="inlineStr">
        <is>
          <t>7</t>
        </is>
      </c>
      <c r="F12" s="19" t="inlineStr">
        <is>
          <t>数値</t>
        </is>
      </c>
      <c r="G12" s="19" t="inlineStr">
        <is>
          <t>AI基礎_課題一覧.xlsx</t>
        </is>
      </c>
      <c r="H12" s="19" t="inlineStr">
        <is>
          <t>課題</t>
        </is>
      </c>
      <c r="I12" s="19" t="inlineStr">
        <is>
          <t>H32</t>
        </is>
      </c>
    </row>
    <row r="13">
      <c r="A13" s="19" t="inlineStr">
        <is>
          <t>20260082</t>
        </is>
      </c>
      <c r="B13" s="19" t="inlineStr">
        <is>
          <t>山田 花子</t>
        </is>
      </c>
      <c r="C13" s="19" t="inlineStr">
        <is>
          <t>AI基礎</t>
        </is>
      </c>
      <c r="D13" s="19" t="inlineStr">
        <is>
          <t>課題2</t>
        </is>
      </c>
      <c r="E13" s="19" t="inlineStr">
        <is>
          <t>未提出</t>
        </is>
      </c>
      <c r="F13" s="19" t="inlineStr">
        <is>
          <t>未提出</t>
        </is>
      </c>
      <c r="G13" s="19" t="inlineStr">
        <is>
          <t>AI基礎_課題一覧.xlsx</t>
        </is>
      </c>
      <c r="H13" s="19" t="inlineStr">
        <is>
          <t>課題</t>
        </is>
      </c>
      <c r="I13" s="19" t="inlineStr">
        <is>
          <t>I32</t>
        </is>
      </c>
    </row>
    <row r="14">
      <c r="A14" s="19" t="inlineStr">
        <is>
          <t>20260082</t>
        </is>
      </c>
      <c r="B14" s="19" t="inlineStr">
        <is>
          <t>山田 花子</t>
        </is>
      </c>
      <c r="C14" s="19" t="inlineStr">
        <is>
          <t>AI基礎</t>
        </is>
      </c>
      <c r="D14" s="19" t="inlineStr">
        <is>
          <t>課題3</t>
        </is>
      </c>
      <c r="E14" s="19" t="inlineStr">
        <is>
          <t>9</t>
        </is>
      </c>
      <c r="F14" s="19" t="inlineStr">
        <is>
          <t>数値</t>
        </is>
      </c>
      <c r="G14" s="19" t="inlineStr">
        <is>
          <t>AI基礎_課題一覧.xlsx</t>
        </is>
      </c>
      <c r="H14" s="19" t="inlineStr">
        <is>
          <t>課題</t>
        </is>
      </c>
      <c r="I14" s="19" t="inlineStr">
        <is>
          <t>J32</t>
        </is>
      </c>
    </row>
    <row r="15">
      <c r="A15" s="19" t="inlineStr">
        <is>
          <t>20260082</t>
        </is>
      </c>
      <c r="B15" s="19" t="inlineStr">
        <is>
          <t>山田 花子</t>
        </is>
      </c>
      <c r="C15" s="19" t="inlineStr">
        <is>
          <t>AI基礎</t>
        </is>
      </c>
      <c r="D15" s="19" t="inlineStr">
        <is>
          <t>期末試験</t>
        </is>
      </c>
      <c r="E15" s="19" t="inlineStr">
        <is>
          <t>71</t>
        </is>
      </c>
      <c r="F15" s="19" t="inlineStr">
        <is>
          <t>数値</t>
        </is>
      </c>
      <c r="G15" s="19" t="inlineStr">
        <is>
          <t>AI基礎_試験.xlsx</t>
        </is>
      </c>
      <c r="H15" s="19" t="inlineStr">
        <is>
          <t>期末</t>
        </is>
      </c>
      <c r="I15" s="19" t="inlineStr">
        <is>
          <t>C15</t>
        </is>
      </c>
    </row>
    <row r="16">
      <c r="A16" s="19" t="inlineStr">
        <is>
          <t>20260050</t>
        </is>
      </c>
      <c r="B16" s="19" t="inlineStr">
        <is>
          <t>佐藤 一郎</t>
        </is>
      </c>
      <c r="C16" s="19" t="inlineStr">
        <is>
          <t>AI基礎</t>
        </is>
      </c>
      <c r="D16" s="19" t="inlineStr">
        <is>
          <t>出席回数</t>
        </is>
      </c>
      <c r="E16" s="19" t="inlineStr">
        <is>
          <t>14</t>
        </is>
      </c>
      <c r="F16" s="19" t="inlineStr">
        <is>
          <t>数値</t>
        </is>
      </c>
      <c r="G16" s="19" t="inlineStr">
        <is>
          <t>AI基礎_出席.xlsx</t>
        </is>
      </c>
      <c r="H16" s="19" t="inlineStr">
        <is>
          <t>1学期</t>
        </is>
      </c>
      <c r="I16" s="19" t="inlineStr">
        <is>
          <t>G14</t>
        </is>
      </c>
    </row>
    <row r="17">
      <c r="A17" s="19" t="inlineStr">
        <is>
          <t>20260050</t>
        </is>
      </c>
      <c r="B17" s="19" t="inlineStr">
        <is>
          <t>佐藤 一郎</t>
        </is>
      </c>
      <c r="C17" s="19" t="inlineStr">
        <is>
          <t>AI基礎</t>
        </is>
      </c>
      <c r="D17" s="19" t="inlineStr">
        <is>
          <t>課題1</t>
        </is>
      </c>
      <c r="E17" s="19" t="inlineStr">
        <is>
          <t>6</t>
        </is>
      </c>
      <c r="F17" s="19" t="inlineStr">
        <is>
          <t>数値</t>
        </is>
      </c>
      <c r="G17" s="19" t="inlineStr">
        <is>
          <t>AI基礎_課題一覧.xlsx</t>
        </is>
      </c>
      <c r="H17" s="19" t="inlineStr">
        <is>
          <t>課題</t>
        </is>
      </c>
      <c r="I17" s="19" t="inlineStr">
        <is>
          <t>H33</t>
        </is>
      </c>
    </row>
    <row r="18">
      <c r="A18" s="19" t="inlineStr">
        <is>
          <t>20260050</t>
        </is>
      </c>
      <c r="B18" s="19" t="inlineStr">
        <is>
          <t>佐藤 一郎</t>
        </is>
      </c>
      <c r="C18" s="19" t="inlineStr">
        <is>
          <t>AI基礎</t>
        </is>
      </c>
      <c r="D18" s="19" t="inlineStr">
        <is>
          <t>課題2</t>
        </is>
      </c>
      <c r="E18" s="19" t="inlineStr">
        <is>
          <t>7</t>
        </is>
      </c>
      <c r="F18" s="19" t="inlineStr">
        <is>
          <t>数値</t>
        </is>
      </c>
      <c r="G18" s="19" t="inlineStr">
        <is>
          <t>AI基礎_課題一覧.xlsx</t>
        </is>
      </c>
      <c r="H18" s="19" t="inlineStr">
        <is>
          <t>課題</t>
        </is>
      </c>
      <c r="I18" s="19" t="inlineStr">
        <is>
          <t>I33</t>
        </is>
      </c>
    </row>
    <row r="19">
      <c r="A19" s="19" t="inlineStr">
        <is>
          <t>20260050</t>
        </is>
      </c>
      <c r="B19" s="19" t="inlineStr">
        <is>
          <t>佐藤 一郎</t>
        </is>
      </c>
      <c r="C19" s="19" t="inlineStr">
        <is>
          <t>AI基礎</t>
        </is>
      </c>
      <c r="D19" s="19" t="inlineStr">
        <is>
          <t>課題3</t>
        </is>
      </c>
      <c r="E19" s="19" t="inlineStr">
        <is>
          <t>8</t>
        </is>
      </c>
      <c r="F19" s="19" t="inlineStr">
        <is>
          <t>数値</t>
        </is>
      </c>
      <c r="G19" s="19" t="inlineStr">
        <is>
          <t>AI基礎_課題一覧.xlsx</t>
        </is>
      </c>
      <c r="H19" s="19" t="inlineStr">
        <is>
          <t>課題</t>
        </is>
      </c>
      <c r="I19" s="19" t="inlineStr">
        <is>
          <t>J33</t>
        </is>
      </c>
    </row>
    <row r="20">
      <c r="A20" s="19" t="inlineStr">
        <is>
          <t>20260050</t>
        </is>
      </c>
      <c r="B20" s="19" t="inlineStr">
        <is>
          <t>佐藤 一郎</t>
        </is>
      </c>
      <c r="C20" s="19" t="inlineStr">
        <is>
          <t>AI基礎</t>
        </is>
      </c>
      <c r="D20" s="19" t="inlineStr">
        <is>
          <t>期末試験</t>
        </is>
      </c>
      <c r="E20" s="19" t="inlineStr">
        <is>
          <t>62</t>
        </is>
      </c>
      <c r="F20" s="19" t="inlineStr">
        <is>
          <t>数値</t>
        </is>
      </c>
      <c r="G20" s="19" t="inlineStr">
        <is>
          <t>AI基礎_試験.xlsx</t>
        </is>
      </c>
      <c r="H20" s="19" t="inlineStr">
        <is>
          <t>期末</t>
        </is>
      </c>
      <c r="I20" s="19" t="inlineStr">
        <is>
          <t>C16</t>
        </is>
      </c>
    </row>
    <row r="21">
      <c r="A21" s="19" t="inlineStr">
        <is>
          <t>20260050</t>
        </is>
      </c>
      <c r="B21" s="19" t="inlineStr">
        <is>
          <t>佐藤 一郎</t>
        </is>
      </c>
      <c r="C21" s="19" t="inlineStr">
        <is>
          <t>マーケティング</t>
        </is>
      </c>
      <c r="D21" s="19" t="inlineStr">
        <is>
          <t>レポート1</t>
        </is>
      </c>
      <c r="E21" s="19" t="inlineStr">
        <is>
          <t>12</t>
        </is>
      </c>
      <c r="F21" s="19" t="inlineStr">
        <is>
          <t>数値</t>
        </is>
      </c>
      <c r="G21" s="19" t="inlineStr">
        <is>
          <t>マーケ_評価表.xlsx</t>
        </is>
      </c>
      <c r="H21" s="19" t="inlineStr">
        <is>
          <t>成績</t>
        </is>
      </c>
      <c r="I21" s="19" t="inlineStr">
        <is>
          <t>D7</t>
        </is>
      </c>
    </row>
    <row r="22">
      <c r="A22" s="19" t="inlineStr">
        <is>
          <t>20260050</t>
        </is>
      </c>
      <c r="B22" s="19" t="inlineStr">
        <is>
          <t>佐藤 一郎</t>
        </is>
      </c>
      <c r="C22" s="19" t="inlineStr">
        <is>
          <t>マーケティング</t>
        </is>
      </c>
      <c r="D22" s="19" t="inlineStr">
        <is>
          <t>レポート2</t>
        </is>
      </c>
      <c r="E22" s="19" t="inlineStr">
        <is>
          <t>対象外</t>
        </is>
      </c>
      <c r="F22" s="19" t="inlineStr">
        <is>
          <t>対象外</t>
        </is>
      </c>
      <c r="G22" s="19" t="inlineStr">
        <is>
          <t>マーケ_評価表.xlsx</t>
        </is>
      </c>
      <c r="H22" s="19" t="inlineStr">
        <is>
          <t>成績</t>
        </is>
      </c>
      <c r="I22" s="19" t="inlineStr">
        <is>
          <t>E7</t>
        </is>
      </c>
    </row>
    <row r="23">
      <c r="A23" s="19" t="inlineStr">
        <is>
          <t>20260050</t>
        </is>
      </c>
      <c r="B23" s="19" t="inlineStr">
        <is>
          <t>佐藤 一郎</t>
        </is>
      </c>
      <c r="C23" s="19" t="inlineStr">
        <is>
          <t>マーケティング</t>
        </is>
      </c>
      <c r="D23" s="19" t="inlineStr">
        <is>
          <t>発表</t>
        </is>
      </c>
      <c r="E23" s="19" t="inlineStr">
        <is>
          <t>20</t>
        </is>
      </c>
      <c r="F23" s="19" t="inlineStr">
        <is>
          <t>数値</t>
        </is>
      </c>
      <c r="G23" s="19" t="inlineStr">
        <is>
          <t>マーケ_評価表.xlsx</t>
        </is>
      </c>
      <c r="H23" s="19" t="inlineStr">
        <is>
          <t>成績</t>
        </is>
      </c>
      <c r="I23" s="19" t="inlineStr">
        <is>
          <t>F7</t>
        </is>
      </c>
    </row>
    <row r="24">
      <c r="A24" s="19" t="inlineStr">
        <is>
          <t>20260050</t>
        </is>
      </c>
      <c r="B24" s="19" t="inlineStr">
        <is>
          <t>佐藤 一郎</t>
        </is>
      </c>
      <c r="C24" s="19" t="inlineStr">
        <is>
          <t>マーケティング</t>
        </is>
      </c>
      <c r="D24" s="19" t="inlineStr">
        <is>
          <t>参加</t>
        </is>
      </c>
      <c r="E24" s="19" t="inlineStr">
        <is>
          <t>7</t>
        </is>
      </c>
      <c r="F24" s="19" t="inlineStr">
        <is>
          <t>数値</t>
        </is>
      </c>
      <c r="G24" s="19" t="inlineStr">
        <is>
          <t>マーケ_評価表.xlsx</t>
        </is>
      </c>
      <c r="H24" s="19" t="inlineStr">
        <is>
          <t>成績</t>
        </is>
      </c>
      <c r="I24" s="19" t="inlineStr">
        <is>
          <t>G7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30" customWidth="1" min="4" max="4"/>
    <col width="50" customWidth="1" min="5" max="5"/>
  </cols>
  <sheetData>
    <row r="1">
      <c r="A1" s="12" t="inlineStr">
        <is>
          <t>【AI基礎】 根拠: 採点基準.xlsx / AI基礎</t>
        </is>
      </c>
    </row>
    <row r="2">
      <c r="A2" s="6" t="inlineStr">
        <is>
          <t>評価項目</t>
        </is>
      </c>
      <c r="B2" s="6" t="inlineStr">
        <is>
          <t>配点</t>
        </is>
      </c>
      <c r="C2" s="6" t="inlineStr"/>
      <c r="D2" s="6" t="inlineStr">
        <is>
          <t>項目（満点）</t>
        </is>
      </c>
      <c r="E2" s="6" t="inlineStr"/>
    </row>
    <row r="3">
      <c r="A3" t="inlineStr">
        <is>
          <t>出席</t>
        </is>
      </c>
      <c r="B3" t="n">
        <v>20</v>
      </c>
      <c r="D3" t="inlineStr">
        <is>
          <t>出席回数（15点）</t>
        </is>
      </c>
    </row>
    <row r="4">
      <c r="A4" t="inlineStr">
        <is>
          <t>課題</t>
        </is>
      </c>
      <c r="B4" t="n">
        <v>40</v>
      </c>
      <c r="D4" t="inlineStr">
        <is>
          <t>課題1（10点）、課題2（10点）、課題3（10点）</t>
        </is>
      </c>
    </row>
    <row r="5">
      <c r="A5" t="inlineStr">
        <is>
          <t>試験</t>
        </is>
      </c>
      <c r="B5" t="n">
        <v>40</v>
      </c>
      <c r="D5" t="inlineStr">
        <is>
          <t>期末試験（100点）</t>
        </is>
      </c>
    </row>
    <row r="6">
      <c r="A6" t="inlineStr">
        <is>
          <t>評価基準</t>
        </is>
      </c>
      <c r="D6" t="inlineStr">
        <is>
          <t>A: 90点以上 / B: 80点以上 / C: 70点以上 / D: 60点以上 / E: 0点以上</t>
        </is>
      </c>
    </row>
    <row r="7">
      <c r="A7" t="inlineStr">
        <is>
          <t>記号の意味</t>
        </is>
      </c>
      <c r="D7" t="inlineStr">
        <is>
          <t>「未提出」＝未提出</t>
        </is>
      </c>
    </row>
    <row r="8">
      <c r="A8" t="inlineStr">
        <is>
          <t>数値以外の扱い</t>
        </is>
      </c>
      <c r="D8" t="inlineStr">
        <is>
          <t>未提出＝0点（ここに無い扱いはすべて停止して人に確認します）</t>
        </is>
      </c>
    </row>
    <row r="10">
      <c r="A10" s="12" t="inlineStr">
        <is>
          <t>【マーケティング】 根拠: シラバス_マーケティング.pdf p.3</t>
        </is>
      </c>
    </row>
    <row r="11">
      <c r="A11" s="6" t="inlineStr">
        <is>
          <t>評価項目</t>
        </is>
      </c>
      <c r="B11" s="6" t="inlineStr">
        <is>
          <t>配点</t>
        </is>
      </c>
      <c r="C11" s="6" t="inlineStr"/>
      <c r="D11" s="6" t="inlineStr">
        <is>
          <t>項目（満点）</t>
        </is>
      </c>
      <c r="E11" s="6" t="inlineStr"/>
    </row>
    <row r="12">
      <c r="A12" t="inlineStr">
        <is>
          <t>課題</t>
        </is>
      </c>
      <c r="B12" t="n">
        <v>50</v>
      </c>
      <c r="D12" t="inlineStr">
        <is>
          <t>レポート1（20点）、レポート2（20点）</t>
        </is>
      </c>
    </row>
    <row r="13">
      <c r="A13" t="inlineStr">
        <is>
          <t>発表</t>
        </is>
      </c>
      <c r="B13" t="n">
        <v>30</v>
      </c>
      <c r="D13" t="inlineStr">
        <is>
          <t>発表（30点）</t>
        </is>
      </c>
    </row>
    <row r="14">
      <c r="A14" t="inlineStr">
        <is>
          <t>参加</t>
        </is>
      </c>
      <c r="B14" t="n">
        <v>20</v>
      </c>
      <c r="D14" t="inlineStr">
        <is>
          <t>参加（10点）</t>
        </is>
      </c>
    </row>
    <row r="15">
      <c r="A15" t="inlineStr">
        <is>
          <t>評価基準</t>
        </is>
      </c>
      <c r="D15" t="inlineStr">
        <is>
          <t>A: 90点以上 / B: 80点以上 / C: 70点以上 / D: 60点以上 / E: 0点以上</t>
        </is>
      </c>
    </row>
    <row r="16">
      <c r="A16" t="inlineStr">
        <is>
          <t>記号の意味</t>
        </is>
      </c>
      <c r="D16" t="inlineStr">
        <is>
          <t>「対象外」＝対象外</t>
        </is>
      </c>
    </row>
    <row r="17">
      <c r="A17" t="inlineStr">
        <is>
          <t>数値以外の扱い</t>
        </is>
      </c>
      <c r="D17" t="inlineStr">
        <is>
          <t>対象外＝計算から除外（ここに無い扱いはすべて停止して人に確認します）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90" customWidth="1" min="5" max="5"/>
  </cols>
  <sheetData>
    <row r="1">
      <c r="A1" s="6" t="inlineStr">
        <is>
          <t>区分</t>
        </is>
      </c>
      <c r="B1" s="6" t="inlineStr">
        <is>
          <t>学籍番号</t>
        </is>
      </c>
      <c r="C1" s="6" t="inlineStr">
        <is>
          <t>氏名</t>
        </is>
      </c>
      <c r="D1" s="6" t="inlineStr">
        <is>
          <t>科目</t>
        </is>
      </c>
      <c r="E1" s="6" t="inlineStr">
        <is>
          <t>内容</t>
        </is>
      </c>
    </row>
    <row r="2">
      <c r="A2" s="3" t="inlineStr">
        <is>
          <t>停止</t>
        </is>
      </c>
      <c r="B2" s="4" t="inlineStr"/>
      <c r="C2" s="4" t="inlineStr"/>
      <c r="D2" s="4" t="inlineStr"/>
      <c r="E2" s="4" t="inlineStr">
        <is>
          <t>完成にできない理由: 未回答の確認事項が 1 件ある</t>
        </is>
      </c>
    </row>
    <row r="3">
      <c r="A3" s="3" t="inlineStr">
        <is>
          <t>停止</t>
        </is>
      </c>
      <c r="B3" s="4" t="inlineStr"/>
      <c r="C3" s="4" t="inlineStr"/>
      <c r="D3" s="4" t="inlineStr"/>
      <c r="E3" s="4" t="inlineStr">
        <is>
          <t>完成にできない理由: 学生×科目に欠損・未確定が 1 件、想定外の結果が 0 件、一覧に無い履修が 0 件ある</t>
        </is>
      </c>
    </row>
    <row r="4">
      <c r="A4" s="3" t="inlineStr">
        <is>
          <t>停止</t>
        </is>
      </c>
      <c r="B4" s="4" t="inlineStr"/>
      <c r="C4" s="4" t="inlineStr"/>
      <c r="D4" s="4" t="inlineStr"/>
      <c r="E4" s="4" t="inlineStr">
        <is>
          <t>完成にできない理由: 出力する結果が無い組み合わせが 1 件ある</t>
        </is>
      </c>
    </row>
    <row r="5">
      <c r="A5" s="3" t="inlineStr">
        <is>
          <t>停止</t>
        </is>
      </c>
      <c r="B5" s="4" t="inlineStr"/>
      <c r="C5" s="4" t="inlineStr"/>
      <c r="D5" s="4" t="inlineStr">
        <is>
          <t>マーケティング</t>
        </is>
      </c>
      <c r="E5" s="4" t="inlineStr">
        <is>
          <t>資料「マーケ_評価表.xlsx」の6行目「山田 花子」は学籍番号が無く、同姓同名が複数います（20260031/1A/山田 花子、20260082/1B/山田 花子）。どの学生ですか？</t>
        </is>
      </c>
    </row>
    <row r="6">
      <c r="A6" s="3" t="inlineStr">
        <is>
          <t>停止</t>
        </is>
      </c>
      <c r="B6" s="4" t="inlineStr">
        <is>
          <t>20260082</t>
        </is>
      </c>
      <c r="C6" s="4" t="inlineStr">
        <is>
          <t>山田 花子</t>
        </is>
      </c>
      <c r="D6" s="4" t="inlineStr">
        <is>
          <t>マーケティング</t>
        </is>
      </c>
      <c r="E6" s="4" t="inlineStr">
        <is>
          <t>値が無い: レポート1、レポート2、発表、参加</t>
        </is>
      </c>
    </row>
    <row r="7">
      <c r="A7" s="20" t="inlineStr">
        <is>
          <t>要確認</t>
        </is>
      </c>
      <c r="B7" s="4" t="inlineStr">
        <is>
          <t>20260082</t>
        </is>
      </c>
      <c r="C7" s="4" t="inlineStr">
        <is>
          <t>山田 花子</t>
        </is>
      </c>
      <c r="D7" s="4" t="inlineStr">
        <is>
          <t>AI基礎</t>
        </is>
      </c>
      <c r="E7" s="4" t="inlineStr">
        <is>
          <t>資料「AI基礎_出席.xlsx」の13行目: 氏名の表記（空白・全角半角・ローマ字）のみ異なる</t>
        </is>
      </c>
    </row>
    <row r="8">
      <c r="A8" s="20" t="inlineStr">
        <is>
          <t>要確認</t>
        </is>
      </c>
      <c r="B8" s="4" t="inlineStr">
        <is>
          <t>20260031</t>
        </is>
      </c>
      <c r="C8" s="4" t="inlineStr">
        <is>
          <t>山田 花子</t>
        </is>
      </c>
      <c r="D8" s="4" t="inlineStr">
        <is>
          <t>AI基礎</t>
        </is>
      </c>
      <c r="E8" s="4" t="inlineStr">
        <is>
          <t>合計に端数がある（89.6）。端数の扱いで評価が B から A に変わり得る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2026-10-01T23:17:03Z</dcterms:created>
  <dcterms:modified xsi:type="dcterms:W3CDTF">2026-10-01T23:17:03Z</dcterms:modified>
</cp:coreProperties>
</file>